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package 1 evolution" sheetId="2" r:id="rId6"/>
    <sheet state="visible" name="package 2 evolution" sheetId="3" r:id="rId7"/>
    <sheet state="visible" name="package 3 evolution" sheetId="4" r:id="rId8"/>
    <sheet state="visible" name="package 4 evolution" sheetId="5" r:id="rId9"/>
    <sheet state="visible" name="package 5 evolution" sheetId="6" r:id="rId10"/>
    <sheet state="visible" name="package 6 evolution" sheetId="7" r:id="rId11"/>
    <sheet state="visible" name="package 7 evolution" sheetId="8" r:id="rId12"/>
    <sheet state="visible" name="package 8 evolution" sheetId="9" r:id="rId13"/>
    <sheet state="visible" name="package 9 evolution" sheetId="10" r:id="rId14"/>
  </sheets>
  <definedNames/>
  <calcPr/>
</workbook>
</file>

<file path=xl/sharedStrings.xml><?xml version="1.0" encoding="utf-8"?>
<sst xmlns="http://schemas.openxmlformats.org/spreadsheetml/2006/main" count="166" uniqueCount="55">
  <si>
    <t xml:space="preserve"> package type</t>
  </si>
  <si>
    <t>Volume</t>
  </si>
  <si>
    <t>Package 1 (Regular - rectangular shape)</t>
  </si>
  <si>
    <t>Package 2 (Irregular - L-shaped)</t>
  </si>
  <si>
    <t>Composite packages (Package 1 and 2)</t>
  </si>
  <si>
    <t>Package_Type</t>
  </si>
  <si>
    <t>Manual_Volume (m³)</t>
  </si>
  <si>
    <t>Mean Estimated Volume (m³)</t>
  </si>
  <si>
    <t>RMSE (m)</t>
  </si>
  <si>
    <t>Percentage</t>
  </si>
  <si>
    <t>Standard deviation (m)</t>
  </si>
  <si>
    <t>Package 1 - (8 attempts)</t>
  </si>
  <si>
    <t>Package 2  - (8 attempts)</t>
  </si>
  <si>
    <t>Package 3  - (6 attempts)</t>
  </si>
  <si>
    <t>Package 4  - (7 attempts)</t>
  </si>
  <si>
    <t>Package 5  - (8 attempts)</t>
  </si>
  <si>
    <t>Package 6  - (6 attempts)</t>
  </si>
  <si>
    <t>Package 7  - (8 attempts)</t>
  </si>
  <si>
    <t>Package 8  - (6 attempts)</t>
  </si>
  <si>
    <t>Package 9  - (7 attempts)</t>
  </si>
  <si>
    <t>MAPE - General</t>
  </si>
  <si>
    <t>RMSE (L)- General</t>
  </si>
  <si>
    <t>Standard deviation (L)- General</t>
  </si>
  <si>
    <t>Average number of points - Packages 3 to 9</t>
  </si>
  <si>
    <t>Desempenho</t>
  </si>
  <si>
    <t>Average execution time (s) - Packages 3 to 9</t>
  </si>
  <si>
    <t>Package type</t>
  </si>
  <si>
    <t>Points</t>
  </si>
  <si>
    <t>Execution time (s)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</si>
  <si>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</si>
  <si>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</si>
  <si>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</si>
  <si>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</si>
  <si>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</si>
  <si>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</si>
  <si>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</si>
  <si>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Package 8</t>
  </si>
  <si>
    <t>Package 9</t>
  </si>
  <si>
    <t xml:space="preserve">No. Points </t>
  </si>
  <si>
    <t>Execution Time (s)</t>
  </si>
  <si>
    <t>Top Volume (m³)</t>
  </si>
  <si>
    <t>Face Volume  (m³)</t>
  </si>
  <si>
    <t>Final Volume  (m³)</t>
  </si>
  <si>
    <t>0,008475(m³</t>
  </si>
  <si>
    <t>manually measured volume</t>
  </si>
  <si>
    <t>Attempt Number</t>
  </si>
  <si>
    <t>Number of Points</t>
  </si>
  <si>
    <t>Estimated Volume (m³)</t>
  </si>
  <si>
    <t>MSE (m)</t>
  </si>
  <si>
    <t>Standard Deviation (m)</t>
  </si>
  <si>
    <t>Absolute Error (%)</t>
  </si>
  <si>
    <t>Total</t>
  </si>
  <si>
    <t>Real time</t>
  </si>
  <si>
    <t>TOTAL</t>
  </si>
  <si>
    <t>TOATAL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</si>
</sst>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000"/>
    <numFmt numFmtId="165" formatCode="0.000000"/>
    <numFmt numFmtId="166" formatCode="0.0"/>
    <numFmt numFmtId="167" formatCode="0.00000"/>
    <numFmt numFmtId="168" formatCode="0.000"/>
    <numFmt numFmtId="169" formatCode="#,##0.00000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66" xfId="0" applyFont="1" applyNumberFormat="1"/>
    <xf borderId="0" fillId="0" fontId="2" numFmtId="165" xfId="0" applyFont="1" applyNumberFormat="1"/>
    <xf borderId="0" fillId="0" fontId="1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/>
    </xf>
    <xf borderId="0" fillId="0" fontId="2" numFmtId="167" xfId="0" applyFont="1" applyNumberFormat="1"/>
    <xf borderId="0" fillId="0" fontId="2" numFmtId="168" xfId="0" applyAlignment="1" applyFont="1" applyNumberFormat="1">
      <alignment horizontal="center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164" xfId="0" applyAlignment="1" applyFont="1" applyNumberFormat="1">
      <alignment shrinkToFit="0" vertical="center" wrapText="0"/>
    </xf>
    <xf borderId="0" fillId="3" fontId="2" numFmtId="10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164" xfId="0" applyAlignment="1" applyFont="1" applyNumberFormat="1">
      <alignment readingOrder="0"/>
    </xf>
    <xf borderId="0" fillId="0" fontId="2" numFmtId="169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3" fontId="2" numFmtId="0" xfId="0" applyAlignment="1" applyFont="1">
      <alignment readingOrder="0"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0" fillId="3" fontId="2" numFmtId="169" xfId="0" applyAlignment="1" applyFont="1" applyNumberFormat="1">
      <alignment readingOrder="0" shrinkToFit="0" vertical="center" wrapText="0"/>
    </xf>
    <xf borderId="0" fillId="0" fontId="3" numFmtId="0" xfId="0" applyAlignment="1" applyFont="1">
      <alignment vertical="bottom"/>
    </xf>
    <xf borderId="0" fillId="0" fontId="2" numFmtId="10" xfId="0" applyAlignment="1" applyFont="1" applyNumberFormat="1">
      <alignment horizontal="right"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2" fontId="2" numFmtId="164" xfId="0" applyAlignment="1" applyFont="1" applyNumberFormat="1">
      <alignment horizontal="right" readingOrder="0" shrinkToFit="0" vertical="center" wrapText="0"/>
    </xf>
    <xf borderId="1" fillId="5" fontId="4" numFmtId="0" xfId="0" applyAlignment="1" applyBorder="1" applyFill="1" applyFont="1">
      <alignment horizontal="right" readingOrder="0" shrinkToFit="0" vertical="center" wrapText="0"/>
    </xf>
    <xf borderId="2" fillId="5" fontId="4" numFmtId="0" xfId="0" applyAlignment="1" applyBorder="1" applyFont="1">
      <alignment horizontal="right" shrinkToFit="0" vertical="center" wrapText="0"/>
    </xf>
    <xf borderId="2" fillId="5" fontId="4" numFmtId="164" xfId="0" applyAlignment="1" applyBorder="1" applyFont="1" applyNumberFormat="1">
      <alignment horizontal="right" shrinkToFit="0" vertical="center" wrapText="0"/>
    </xf>
    <xf borderId="2" fillId="5" fontId="4" numFmtId="0" xfId="0" applyAlignment="1" applyBorder="1" applyFont="1">
      <alignment horizontal="right" shrinkToFit="0" vertical="center" wrapText="0"/>
    </xf>
    <xf borderId="3" fillId="5" fontId="4" numFmtId="10" xfId="0" applyAlignment="1" applyBorder="1" applyFont="1" applyNumberFormat="1">
      <alignment horizontal="right" shrinkToFit="0" vertical="center" wrapText="0"/>
    </xf>
    <xf borderId="4" fillId="6" fontId="4" numFmtId="0" xfId="0" applyAlignment="1" applyBorder="1" applyFill="1" applyFont="1">
      <alignment horizontal="right" readingOrder="0" shrinkToFit="0" vertical="center" wrapText="0"/>
    </xf>
    <xf borderId="5" fillId="6" fontId="4" numFmtId="0" xfId="0" applyAlignment="1" applyBorder="1" applyFont="1">
      <alignment horizontal="right" shrinkToFit="0" vertical="center" wrapText="0"/>
    </xf>
    <xf borderId="5" fillId="6" fontId="4" numFmtId="164" xfId="0" applyAlignment="1" applyBorder="1" applyFont="1" applyNumberFormat="1">
      <alignment horizontal="right" shrinkToFit="0" vertical="center" wrapText="0"/>
    </xf>
    <xf borderId="5" fillId="6" fontId="4" numFmtId="0" xfId="0" applyAlignment="1" applyBorder="1" applyFont="1">
      <alignment horizontal="right" shrinkToFit="0" vertical="center" wrapText="0"/>
    </xf>
    <xf borderId="6" fillId="6" fontId="4" numFmtId="10" xfId="0" applyAlignment="1" applyBorder="1" applyFont="1" applyNumberFormat="1">
      <alignment horizontal="right" shrinkToFit="0" vertical="center" wrapText="0"/>
    </xf>
    <xf borderId="0" fillId="2" fontId="2" numFmtId="165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1">
    <tableStyle count="5" pivot="0" name="General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General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General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1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1 evolu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2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2 evolu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3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package 3 evolution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ackage 4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4 evolu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5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5 evolu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6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package 6 evolution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ackage 7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7 evolu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8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8 evolution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9 evolut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ackage 9 evolution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Mean Absolute Error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General!$A$13:$A$21</c:f>
            </c:strRef>
          </c:cat>
          <c:val>
            <c:numRef>
              <c:f>General!$D$13:$D$21</c:f>
              <c:numCache/>
            </c:numRef>
          </c:val>
        </c:ser>
        <c:axId val="1195364541"/>
        <c:axId val="1445113329"/>
      </c:barChart>
      <c:lineChart>
        <c:varyColors val="0"/>
        <c:ser>
          <c:idx val="1"/>
          <c:order val="1"/>
          <c:tx>
            <c:v>Standard Deviation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General!$A$13:$A$21</c:f>
            </c:strRef>
          </c:cat>
          <c:val>
            <c:numRef>
              <c:f>General!$F$13:$F$21</c:f>
              <c:numCache/>
            </c:numRef>
          </c:val>
          <c:smooth val="0"/>
        </c:ser>
        <c:axId val="1195364541"/>
        <c:axId val="1445113329"/>
      </c:lineChart>
      <c:catAx>
        <c:axId val="1195364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Package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113329"/>
      </c:catAx>
      <c:valAx>
        <c:axId val="1445113329"/>
        <c:scaling>
          <c:orientation val="minMax"/>
          <c:max val="0.00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(m³)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364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Manual measurement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General!$A$13:$A$21</c:f>
            </c:strRef>
          </c:cat>
          <c:val>
            <c:numRef>
              <c:f>General!$B$13:$B$21</c:f>
              <c:numCache/>
            </c:numRef>
          </c:val>
          <c:smooth val="0"/>
        </c:ser>
        <c:ser>
          <c:idx val="1"/>
          <c:order val="1"/>
          <c:tx>
            <c:v>Estimated by our software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General!$A$13:$A$21</c:f>
            </c:strRef>
          </c:cat>
          <c:val>
            <c:numRef>
              <c:f>General!$C$13:$C$21</c:f>
              <c:numCache/>
            </c:numRef>
          </c:val>
          <c:smooth val="0"/>
        </c:ser>
        <c:axId val="1869511551"/>
        <c:axId val="1068046265"/>
      </c:lineChart>
      <c:catAx>
        <c:axId val="1869511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Package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046265"/>
      </c:catAx>
      <c:valAx>
        <c:axId val="1068046265"/>
        <c:scaling>
          <c:orientation val="minMax"/>
          <c:max val="0.1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Volume (m³)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511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Execution time (s) versus Points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General!$C$29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General!$B$30:$B$38</c:f>
            </c:strRef>
          </c:cat>
          <c:val>
            <c:numRef>
              <c:f>General!$C$30:$C$38</c:f>
              <c:numCache/>
            </c:numRef>
          </c:val>
        </c:ser>
        <c:axId val="119569562"/>
        <c:axId val="880350019"/>
      </c:barChart>
      <c:catAx>
        <c:axId val="119569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350019"/>
      </c:catAx>
      <c:valAx>
        <c:axId val="880350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69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Volume Top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1 evolution'!$B$2:$B$37</c:f>
            </c:strRef>
          </c:cat>
          <c:val>
            <c:numRef>
              <c:f>'package 1 evolution'!$C$2:$C$37</c:f>
              <c:numCache/>
            </c:numRef>
          </c:val>
          <c:smooth val="0"/>
        </c:ser>
        <c:ser>
          <c:idx val="1"/>
          <c:order val="1"/>
          <c:tx>
            <c:strRef>
              <c:f>'package 1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1 evolution'!$B$2:$B$37</c:f>
            </c:strRef>
          </c:cat>
          <c:val>
            <c:numRef>
              <c:f>'package 1 evolution'!$D$2:$D$37</c:f>
              <c:numCache/>
            </c:numRef>
          </c:val>
          <c:smooth val="0"/>
        </c:ser>
        <c:ser>
          <c:idx val="2"/>
          <c:order val="2"/>
          <c:tx>
            <c:v>Final Volume 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1 evolution'!$B$2:$B$37</c:f>
            </c:strRef>
          </c:cat>
          <c:val>
            <c:numRef>
              <c:f>'package 1 evolution'!$E$2:$E$37</c:f>
              <c:numCache/>
            </c:numRef>
          </c:val>
          <c:smooth val="0"/>
        </c:ser>
        <c:axId val="1924261643"/>
        <c:axId val="1414026548"/>
      </c:lineChart>
      <c:catAx>
        <c:axId val="1924261643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026548"/>
      </c:catAx>
      <c:valAx>
        <c:axId val="1414026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(m³)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261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Top vollume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2 evolution'!$B$2:$B$34</c:f>
            </c:strRef>
          </c:cat>
          <c:val>
            <c:numRef>
              <c:f>'package 2 evolution'!$C$2:$C$34</c:f>
              <c:numCache/>
            </c:numRef>
          </c:val>
          <c:smooth val="0"/>
        </c:ser>
        <c:ser>
          <c:idx val="1"/>
          <c:order val="1"/>
          <c:tx>
            <c:v>Face volume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2 evolution'!$B$2:$B$34</c:f>
            </c:strRef>
          </c:cat>
          <c:val>
            <c:numRef>
              <c:f>'package 2 evolution'!$D$2:$D$34</c:f>
              <c:numCache/>
            </c:numRef>
          </c:val>
          <c:smooth val="0"/>
        </c:ser>
        <c:ser>
          <c:idx val="2"/>
          <c:order val="2"/>
          <c:tx>
            <c:v>Average volume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2 evolution'!$B$2:$B$34</c:f>
            </c:strRef>
          </c:cat>
          <c:val>
            <c:numRef>
              <c:f>'package 2 evolution'!$E$2:$E$34</c:f>
              <c:numCache/>
            </c:numRef>
          </c:val>
          <c:smooth val="0"/>
        </c:ser>
        <c:axId val="1510320709"/>
        <c:axId val="1709572012"/>
      </c:lineChart>
      <c:catAx>
        <c:axId val="1510320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572012"/>
      </c:catAx>
      <c:valAx>
        <c:axId val="1709572012"/>
        <c:scaling>
          <c:orientation val="minMax"/>
          <c:max val="0.0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(m³)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320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 Topo, Volume Face e Volume Final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'package 3 evolution'!$C$1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3 evolution'!$B$2:$B$89</c:f>
            </c:strRef>
          </c:cat>
          <c:val>
            <c:numRef>
              <c:f>'package 3 evolution'!$C$2:$C$89</c:f>
              <c:numCache/>
            </c:numRef>
          </c:val>
          <c:smooth val="0"/>
        </c:ser>
        <c:ser>
          <c:idx val="1"/>
          <c:order val="1"/>
          <c:tx>
            <c:strRef>
              <c:f>'package 3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3 evolution'!$B$2:$B$89</c:f>
            </c:strRef>
          </c:cat>
          <c:val>
            <c:numRef>
              <c:f>'package 3 evolution'!$D$2:$D$89</c:f>
              <c:numCache/>
            </c:numRef>
          </c:val>
          <c:smooth val="0"/>
        </c:ser>
        <c:ser>
          <c:idx val="2"/>
          <c:order val="2"/>
          <c:tx>
            <c:strRef>
              <c:f>'package 3 evolution'!$E$1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3 evolution'!$B$2:$B$89</c:f>
            </c:strRef>
          </c:cat>
          <c:val>
            <c:numRef>
              <c:f>'package 3 evolution'!$E$2:$E$89</c:f>
              <c:numCache/>
            </c:numRef>
          </c:val>
          <c:smooth val="0"/>
        </c:ser>
        <c:axId val="2099287618"/>
        <c:axId val="870557016"/>
      </c:lineChart>
      <c:catAx>
        <c:axId val="2099287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Execução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557016"/>
      </c:catAx>
      <c:valAx>
        <c:axId val="870557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287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'package 4 evolution'!$C$1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4 evolution'!$B$2:$B$87</c:f>
            </c:strRef>
          </c:cat>
          <c:val>
            <c:numRef>
              <c:f>'package 4 evolution'!$C$2:$C$87</c:f>
              <c:numCache/>
            </c:numRef>
          </c:val>
          <c:smooth val="0"/>
        </c:ser>
        <c:ser>
          <c:idx val="1"/>
          <c:order val="1"/>
          <c:tx>
            <c:strRef>
              <c:f>'package 4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57"/>
            <c:marker>
              <c:symbol val="none"/>
            </c:marker>
          </c:dPt>
          <c:cat>
            <c:strRef>
              <c:f>'package 4 evolution'!$B$2:$B$87</c:f>
            </c:strRef>
          </c:cat>
          <c:val>
            <c:numRef>
              <c:f>'package 4 evolution'!$D$2:$D$87</c:f>
              <c:numCache/>
            </c:numRef>
          </c:val>
          <c:smooth val="0"/>
        </c:ser>
        <c:ser>
          <c:idx val="2"/>
          <c:order val="2"/>
          <c:tx>
            <c:strRef>
              <c:f>'package 4 evolution'!$E$1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4 evolution'!$B$2:$B$87</c:f>
            </c:strRef>
          </c:cat>
          <c:val>
            <c:numRef>
              <c:f>'package 4 evolution'!$E$2:$E$87</c:f>
              <c:numCache/>
            </c:numRef>
          </c:val>
          <c:smooth val="0"/>
        </c:ser>
        <c:axId val="1003319579"/>
        <c:axId val="453263296"/>
      </c:lineChart>
      <c:catAx>
        <c:axId val="1003319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263296"/>
      </c:catAx>
      <c:valAx>
        <c:axId val="453263296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319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 TOPO (m³), Volume FACE (m³) e Volume MÉDIA (m³)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'package 5 evolution'!$C$1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5 evolution'!$B$2:$B$69</c:f>
            </c:strRef>
          </c:cat>
          <c:val>
            <c:numRef>
              <c:f>'package 5 evolution'!$C$2:$C$69</c:f>
              <c:numCache/>
            </c:numRef>
          </c:val>
          <c:smooth val="0"/>
        </c:ser>
        <c:ser>
          <c:idx val="1"/>
          <c:order val="1"/>
          <c:tx>
            <c:strRef>
              <c:f>'package 5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5 evolution'!$B$2:$B$69</c:f>
            </c:strRef>
          </c:cat>
          <c:val>
            <c:numRef>
              <c:f>'package 5 evolution'!$D$2:$D$69</c:f>
              <c:numCache/>
            </c:numRef>
          </c:val>
          <c:smooth val="0"/>
        </c:ser>
        <c:ser>
          <c:idx val="2"/>
          <c:order val="2"/>
          <c:tx>
            <c:strRef>
              <c:f>'package 5 evolution'!$E$1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5 evolution'!$B$2:$B$69</c:f>
            </c:strRef>
          </c:cat>
          <c:val>
            <c:numRef>
              <c:f>'package 5 evolution'!$E$2:$E$69</c:f>
              <c:numCache/>
            </c:numRef>
          </c:val>
          <c:smooth val="0"/>
        </c:ser>
        <c:axId val="1402935447"/>
        <c:axId val="654515134"/>
      </c:lineChart>
      <c:catAx>
        <c:axId val="1402935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515134"/>
      </c:catAx>
      <c:valAx>
        <c:axId val="654515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935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 TOPO (m³), Volume FACE (m³) e Volume MÉDIA (m³)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'package 6 evolution'!$C$1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6 evolution'!$B$2:$B$87</c:f>
            </c:strRef>
          </c:cat>
          <c:val>
            <c:numRef>
              <c:f>'package 6 evolution'!$C$2:$C$87</c:f>
              <c:numCache/>
            </c:numRef>
          </c:val>
          <c:smooth val="0"/>
        </c:ser>
        <c:ser>
          <c:idx val="1"/>
          <c:order val="1"/>
          <c:tx>
            <c:strRef>
              <c:f>'package 6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6 evolution'!$B$2:$B$87</c:f>
            </c:strRef>
          </c:cat>
          <c:val>
            <c:numRef>
              <c:f>'package 6 evolution'!$D$2:$D$87</c:f>
              <c:numCache/>
            </c:numRef>
          </c:val>
          <c:smooth val="0"/>
        </c:ser>
        <c:ser>
          <c:idx val="2"/>
          <c:order val="2"/>
          <c:tx>
            <c:strRef>
              <c:f>'package 6 evolution'!$E$1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6 evolution'!$B$2:$B$87</c:f>
            </c:strRef>
          </c:cat>
          <c:val>
            <c:numRef>
              <c:f>'package 6 evolution'!$E$2:$E$87</c:f>
              <c:numCache/>
            </c:numRef>
          </c:val>
          <c:smooth val="0"/>
        </c:ser>
        <c:axId val="1565995293"/>
        <c:axId val="43499238"/>
      </c:lineChart>
      <c:catAx>
        <c:axId val="1565995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99238"/>
      </c:catAx>
      <c:valAx>
        <c:axId val="43499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995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Volume TOPO (m³), Volume FACE (m³) e Volume MÉDIA (m³)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'package 7 evolution'!$C$1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7 evolution'!$B$2:$B$83</c:f>
            </c:strRef>
          </c:cat>
          <c:val>
            <c:numRef>
              <c:f>'package 7 evolution'!$C$2:$C$83</c:f>
              <c:numCache/>
            </c:numRef>
          </c:val>
          <c:smooth val="0"/>
        </c:ser>
        <c:ser>
          <c:idx val="1"/>
          <c:order val="1"/>
          <c:tx>
            <c:strRef>
              <c:f>'package 7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7 evolution'!$B$2:$B$83</c:f>
            </c:strRef>
          </c:cat>
          <c:val>
            <c:numRef>
              <c:f>'package 7 evolution'!$D$2:$D$83</c:f>
              <c:numCache/>
            </c:numRef>
          </c:val>
          <c:smooth val="0"/>
        </c:ser>
        <c:ser>
          <c:idx val="2"/>
          <c:order val="2"/>
          <c:tx>
            <c:strRef>
              <c:f>'package 7 evolution'!$E$1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7 evolution'!$B$2:$B$83</c:f>
            </c:strRef>
          </c:cat>
          <c:val>
            <c:numRef>
              <c:f>'package 7 evolution'!$E$2:$E$83</c:f>
              <c:numCache/>
            </c:numRef>
          </c:val>
          <c:smooth val="0"/>
        </c:ser>
        <c:axId val="2083572689"/>
        <c:axId val="1855040072"/>
      </c:lineChart>
      <c:catAx>
        <c:axId val="2083572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040072"/>
      </c:catAx>
      <c:valAx>
        <c:axId val="1855040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572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'package 8 evolution'!$C$1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8 evolution'!$B$2:$B$96</c:f>
            </c:strRef>
          </c:cat>
          <c:val>
            <c:numRef>
              <c:f>'package 8 evolution'!$C$2:$C$96</c:f>
              <c:numCache/>
            </c:numRef>
          </c:val>
          <c:smooth val="0"/>
        </c:ser>
        <c:ser>
          <c:idx val="1"/>
          <c:order val="1"/>
          <c:tx>
            <c:strRef>
              <c:f>'package 8 evolution'!$D$1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8 evolution'!$B$2:$B$96</c:f>
            </c:strRef>
          </c:cat>
          <c:val>
            <c:numRef>
              <c:f>'package 8 evolution'!$D$2:$D$96</c:f>
              <c:numCache/>
            </c:numRef>
          </c:val>
          <c:smooth val="0"/>
        </c:ser>
        <c:ser>
          <c:idx val="2"/>
          <c:order val="2"/>
          <c:tx>
            <c:strRef>
              <c:f>'package 8 evolution'!$E$1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'package 8 evolution'!$B$2:$B$96</c:f>
            </c:strRef>
          </c:cat>
          <c:val>
            <c:numRef>
              <c:f>'package 8 evolution'!$E$2:$E$96</c:f>
              <c:numCache/>
            </c:numRef>
          </c:val>
          <c:smooth val="0"/>
        </c:ser>
        <c:axId val="927930681"/>
        <c:axId val="922774401"/>
      </c:lineChart>
      <c:catAx>
        <c:axId val="927930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2774401"/>
      </c:catAx>
      <c:valAx>
        <c:axId val="922774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930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Top volume 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'package 9 evolution'!$B$2:$B$82</c:f>
            </c:strRef>
          </c:cat>
          <c:val>
            <c:numRef>
              <c:f>'package 9 evolution'!$C$2:$C$82</c:f>
              <c:numCache/>
            </c:numRef>
          </c:val>
          <c:smooth val="0"/>
        </c:ser>
        <c:ser>
          <c:idx val="1"/>
          <c:order val="1"/>
          <c:tx>
            <c:v>Face volume 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'package 9 evolution'!$B$2:$B$82</c:f>
            </c:strRef>
          </c:cat>
          <c:val>
            <c:numRef>
              <c:f>'package 9 evolution'!$D$2:$D$82</c:f>
              <c:numCache/>
            </c:numRef>
          </c:val>
          <c:smooth val="0"/>
        </c:ser>
        <c:ser>
          <c:idx val="2"/>
          <c:order val="2"/>
          <c:tx>
            <c:v>Average volume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66"/>
            <c:marker>
              <c:symbol val="none"/>
            </c:marker>
          </c:dPt>
          <c:cat>
            <c:strRef>
              <c:f>'package 9 evolution'!$B$2:$B$82</c:f>
            </c:strRef>
          </c:cat>
          <c:val>
            <c:numRef>
              <c:f>'package 9 evolution'!$E$2:$E$82</c:f>
              <c:numCache/>
            </c:numRef>
          </c:val>
          <c:smooth val="0"/>
        </c:ser>
        <c:axId val="574964191"/>
        <c:axId val="2067378294"/>
      </c:lineChart>
      <c:catAx>
        <c:axId val="57496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378294"/>
      </c:catAx>
      <c:valAx>
        <c:axId val="2067378294"/>
        <c:scaling>
          <c:orientation val="minMax"/>
          <c:max val="0.1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(m³)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964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14</xdr:row>
      <xdr:rowOff>133350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0</xdr:row>
      <xdr:rowOff>47625</xdr:rowOff>
    </xdr:from>
    <xdr:ext cx="5610225" cy="3476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438150</xdr:colOff>
      <xdr:row>30</xdr:row>
      <xdr:rowOff>200025</xdr:rowOff>
    </xdr:from>
    <xdr:ext cx="7305675" cy="45243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1</xdr:row>
      <xdr:rowOff>57150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647700</xdr:colOff>
      <xdr:row>0</xdr:row>
      <xdr:rowOff>190500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1</xdr:row>
      <xdr:rowOff>142875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752475</xdr:colOff>
      <xdr:row>0</xdr:row>
      <xdr:rowOff>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1</xdr:row>
      <xdr:rowOff>123825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0</xdr:row>
      <xdr:rowOff>257175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4:B7" displayName="packages_manual_measurements" name="packages_manual_measurements" id="1">
  <tableColumns count="2">
    <tableColumn totalsRowLabel="Composite packages (Package 1 and 2)" name=" package type" id="1"/>
    <tableColumn totalsRowFunction="custom" name="Volume" id="2"/>
  </tableColumns>
  <tableStyleInfo name="General-style" showColumnStripes="0" showFirstColumn="1" showLastColumn="1" showRowStripes="1"/>
</table>
</file>

<file path=xl/tables/table2.xml><?xml version="1.0" encoding="utf-8"?>
<table xmlns="http://schemas.openxmlformats.org/spreadsheetml/2006/main" ref="A12:F21" displayName="Measurements_made_by_the_algorithm" name="Measurements_made_by_the_algorithm" id="2">
  <tableColumns count="6">
    <tableColumn name="Package_Type" id="1"/>
    <tableColumn name="Manual_Volume (m³)" id="2"/>
    <tableColumn name="Mean Estimated Volume (m³)" id="3"/>
    <tableColumn name="RMSE (m)" id="4"/>
    <tableColumn name="Percentage" id="5"/>
    <tableColumn name="Standard deviation (m)" id="6"/>
  </tableColumns>
  <tableStyleInfo name="General-style 2" showColumnStripes="0" showFirstColumn="1" showLastColumn="1" showRowStripes="1"/>
</table>
</file>

<file path=xl/tables/table3.xml><?xml version="1.0" encoding="utf-8"?>
<table xmlns="http://schemas.openxmlformats.org/spreadsheetml/2006/main" ref="A29:C38" displayName="Tabela_31" name="Tabela_31" id="3">
  <tableColumns count="3">
    <tableColumn name="Package type" id="1"/>
    <tableColumn name="Points" id="2"/>
    <tableColumn name="Execution time (s)" id="3"/>
  </tableColumns>
  <tableStyleInfo name="General-style 3" showColumnStripes="0" showFirstColumn="1" showLastColumn="1" showRowStripes="1"/>
</table>
</file>

<file path=xl/tables/table4.xml><?xml version="1.0" encoding="utf-8"?>
<table xmlns="http://schemas.openxmlformats.org/spreadsheetml/2006/main" ref="A1:E37" displayName="Tabela_32" name="Tabela_32" id="4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1 evolution-style" showColumnStripes="0" showFirstColumn="1" showLastColumn="1" showRowStripes="1"/>
</table>
</file>

<file path=xl/tables/table5.xml><?xml version="1.0" encoding="utf-8"?>
<table xmlns="http://schemas.openxmlformats.org/spreadsheetml/2006/main" ref="A43:G52" displayName="Tabela_1" name="Tabela_1" id="5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1 evolution-style 2" showColumnStripes="0" showFirstColumn="1" showLastColumn="1" showRowStripes="1"/>
</table>
</file>

<file path=xl/tables/table6.xml><?xml version="1.0" encoding="utf-8"?>
<table xmlns="http://schemas.openxmlformats.org/spreadsheetml/2006/main" ref="A1:E35" displayName="Tabela_2" name="Tabela_2" id="6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2 evolution-style" showColumnStripes="0" showFirstColumn="1" showLastColumn="1" showRowStripes="1"/>
</table>
</file>

<file path=xl/tables/table7.xml><?xml version="1.0" encoding="utf-8"?>
<table xmlns="http://schemas.openxmlformats.org/spreadsheetml/2006/main" ref="A39:G48" displayName="Tabela_3" name="Tabela_3" id="7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2 evolution-style 2" showColumnStripes="0" showFirstColumn="1" showLastColumn="1" showRowStripes="1"/>
</table>
</file>

<file path=xl/tables/table8.xml><?xml version="1.0" encoding="utf-8"?>
<table xmlns="http://schemas.openxmlformats.org/spreadsheetml/2006/main" ref="A1:E89" displayName="Tabela_4" name="Tabela_4" id="8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3 evolution-style" showColumnStripes="0" showFirstColumn="1" showLastColumn="1" showRowStripes="1"/>
</table>
</file>

<file path=xl/tables/table9.xml><?xml version="1.0" encoding="utf-8"?>
<table xmlns="http://schemas.openxmlformats.org/spreadsheetml/2006/main" totalsRowCount="1" ref="A94:G101" displayName="Tabela_23" name="Tabela_23" id="9">
  <tableColumns count="7">
    <tableColumn totalsRowLabel="TOTAL" name="Attempt Number" id="1"/>
    <tableColumn totalsRowFunction="custom" name="Number of Points" id="2"/>
    <tableColumn totalsRowFunction="custom" name="Estimated Volume (m³)" id="3"/>
    <tableColumn totalsRowFunction="custom" name="MSE (m)" id="4"/>
    <tableColumn totalsRowFunction="custom" name="Standard Deviation (m)" id="5"/>
    <tableColumn totalsRowFunction="custom" name="Execution Time (s)" id="6"/>
    <tableColumn totalsRowFunction="custom" name="Absolute Error (%)" id="7"/>
  </tableColumns>
  <tableStyleInfo name="package 3 evolution-style 2" showColumnStripes="0" showFirstColumn="1" showLastColumn="1" showRowStripes="1"/>
</table>
</file>

<file path=xl/tables/table10.xml><?xml version="1.0" encoding="utf-8"?>
<table xmlns="http://schemas.openxmlformats.org/spreadsheetml/2006/main" ref="A1:E87" displayName="Tabela_25" name="Tabela_25" id="10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4 evolution-style" showColumnStripes="0" showFirstColumn="1" showLastColumn="1" showRowStripes="1"/>
</table>
</file>

<file path=xl/tables/table11.xml><?xml version="1.0" encoding="utf-8"?>
<table xmlns="http://schemas.openxmlformats.org/spreadsheetml/2006/main" ref="A95:G103" displayName="Tabela_26" name="Tabela_26" id="11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4 evolution-style 2" showColumnStripes="0" showFirstColumn="1" showLastColumn="1" showRowStripes="1"/>
</table>
</file>

<file path=xl/tables/table12.xml><?xml version="1.0" encoding="utf-8"?>
<table xmlns="http://schemas.openxmlformats.org/spreadsheetml/2006/main" ref="A1:E69" displayName="Tabela_5" name="Tabela_5" id="12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5 evolution-style" showColumnStripes="0" showFirstColumn="1" showLastColumn="1" showRowStripes="1"/>
</table>
</file>

<file path=xl/tables/table13.xml><?xml version="1.0" encoding="utf-8"?>
<table xmlns="http://schemas.openxmlformats.org/spreadsheetml/2006/main" ref="A74:G83" displayName="Tabela_6" name="Tabela_6" id="13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5 evolution-style 2" showColumnStripes="0" showFirstColumn="1" showLastColumn="1" showRowStripes="1"/>
</table>
</file>

<file path=xl/tables/table14.xml><?xml version="1.0" encoding="utf-8"?>
<table xmlns="http://schemas.openxmlformats.org/spreadsheetml/2006/main" ref="A1:E87" displayName="Tabela_8" name="Tabela_8" id="14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6 evolution-style" showColumnStripes="0" showFirstColumn="1" showLastColumn="1" showRowStripes="1"/>
</table>
</file>

<file path=xl/tables/table15.xml><?xml version="1.0" encoding="utf-8"?>
<table xmlns="http://schemas.openxmlformats.org/spreadsheetml/2006/main" totalsRowCount="1" ref="A91:G98" displayName="Tabela_9" name="Tabela_9" id="15">
  <tableColumns count="7">
    <tableColumn totalsRowLabel="TOATAL" name="Attempt Number" id="1"/>
    <tableColumn totalsRowFunction="custom" name="Number of Points" id="2"/>
    <tableColumn totalsRowFunction="custom" name="Estimated Volume (m³)" id="3"/>
    <tableColumn totalsRowFunction="custom" name="MSE (m)" id="4"/>
    <tableColumn totalsRowFunction="custom" name="Standard Deviation (m)" id="5"/>
    <tableColumn totalsRowFunction="custom" name="Execution Time (s)" id="6"/>
    <tableColumn totalsRowFunction="custom" name="Absolute Error (%)" id="7"/>
  </tableColumns>
  <tableStyleInfo name="package 6 evolution-style 2" showColumnStripes="0" showFirstColumn="1" showLastColumn="1" showRowStripes="1"/>
</table>
</file>

<file path=xl/tables/table16.xml><?xml version="1.0" encoding="utf-8"?>
<table xmlns="http://schemas.openxmlformats.org/spreadsheetml/2006/main" ref="A1:E83" displayName="Tabela_28" name="Tabela_28" id="16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7 evolution-style" showColumnStripes="0" showFirstColumn="1" showLastColumn="1" showRowStripes="1"/>
</table>
</file>

<file path=xl/tables/table17.xml><?xml version="1.0" encoding="utf-8"?>
<table xmlns="http://schemas.openxmlformats.org/spreadsheetml/2006/main" ref="A90:G99" displayName="Tabela_11" name="Tabela_11" id="17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7 evolution-style 2" showColumnStripes="0" showFirstColumn="1" showLastColumn="1" showRowStripes="1"/>
</table>
</file>

<file path=xl/tables/table18.xml><?xml version="1.0" encoding="utf-8"?>
<table xmlns="http://schemas.openxmlformats.org/spreadsheetml/2006/main" ref="A1:E96" displayName="Tabela_29" name="Tabela_29" id="18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8 evolution-style" showColumnStripes="0" showFirstColumn="1" showLastColumn="1" showRowStripes="1"/>
</table>
</file>

<file path=xl/tables/table19.xml><?xml version="1.0" encoding="utf-8"?>
<table xmlns="http://schemas.openxmlformats.org/spreadsheetml/2006/main" ref="A100:G107" displayName="Tabela_13" name="Tabela_13" id="19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8 evolution-style 2" showColumnStripes="0" showFirstColumn="1" showLastColumn="1" showRowStripes="1"/>
</table>
</file>

<file path=xl/tables/table20.xml><?xml version="1.0" encoding="utf-8"?>
<table xmlns="http://schemas.openxmlformats.org/spreadsheetml/2006/main" ref="A1:E82" displayName="Tabela_15" name="Tabela_15" id="20">
  <tableColumns count="5">
    <tableColumn name="No. Points " id="1"/>
    <tableColumn name="Execution Time (s)" id="2"/>
    <tableColumn name="Top Volume (m³)" id="3"/>
    <tableColumn name="Face Volume  (m³)" id="4"/>
    <tableColumn name="Final Volume  (m³)" id="5"/>
  </tableColumns>
  <tableStyleInfo name="package 9 evolution-style" showColumnStripes="0" showFirstColumn="1" showLastColumn="1" showRowStripes="1"/>
</table>
</file>

<file path=xl/tables/table21.xml><?xml version="1.0" encoding="utf-8"?>
<table xmlns="http://schemas.openxmlformats.org/spreadsheetml/2006/main" ref="A87:G95" displayName="Tabela_16" name="Tabela_16" id="21">
  <tableColumns count="7">
    <tableColumn name="Attempt Number" id="1"/>
    <tableColumn name="Number of Points" id="2"/>
    <tableColumn name="Estimated Volume (m³)" id="3"/>
    <tableColumn name="MSE (m)" id="4"/>
    <tableColumn name="Standard Deviation (m)" id="5"/>
    <tableColumn name="Execution Time (s)" id="6"/>
    <tableColumn name="Absolute Error (%)" id="7"/>
  </tableColumns>
  <tableStyleInfo name="package 9 evolut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20.5"/>
    <col customWidth="1" min="3" max="3" width="25.88"/>
    <col customWidth="1" min="4" max="5" width="18.0"/>
    <col customWidth="1" min="6" max="6" width="1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3"/>
    </row>
    <row r="4" ht="22.5" customHeight="1">
      <c r="A4" s="4" t="s">
        <v>0</v>
      </c>
      <c r="B4" s="4" t="s">
        <v>1</v>
      </c>
    </row>
    <row r="5" ht="22.5" customHeight="1">
      <c r="A5" s="5" t="s">
        <v>2</v>
      </c>
      <c r="B5" s="6">
        <v>0.06602</v>
      </c>
    </row>
    <row r="6" ht="22.5" customHeight="1">
      <c r="A6" s="5" t="s">
        <v>3</v>
      </c>
      <c r="B6" s="6">
        <v>0.058618</v>
      </c>
    </row>
    <row r="7" ht="22.5" customHeight="1">
      <c r="A7" s="5" t="s">
        <v>4</v>
      </c>
      <c r="B7" s="7">
        <f>SUM(packages_manual_measurements[Volume])</f>
        <v>0.124638</v>
      </c>
    </row>
    <row r="12" ht="22.5" customHeight="1">
      <c r="A12" s="8" t="s">
        <v>5</v>
      </c>
      <c r="B12" s="9" t="s">
        <v>6</v>
      </c>
      <c r="C12" s="4" t="s">
        <v>7</v>
      </c>
      <c r="D12" s="4" t="s">
        <v>8</v>
      </c>
      <c r="E12" s="9" t="s">
        <v>9</v>
      </c>
      <c r="F12" s="4" t="s">
        <v>10</v>
      </c>
    </row>
    <row r="13" ht="22.5" customHeight="1">
      <c r="A13" s="5" t="s">
        <v>11</v>
      </c>
      <c r="B13" s="6">
        <v>0.06602</v>
      </c>
      <c r="C13" s="10">
        <f>'package 1 evolution'!C52/8</f>
        <v>0.061705625</v>
      </c>
      <c r="D13" s="10">
        <f>SQRT('package 1 evolution'!D52/8)</f>
        <v>0.005246470016</v>
      </c>
      <c r="E13" s="11">
        <f>'package 1 evolution'!G52/8</f>
        <v>0.06864397152</v>
      </c>
      <c r="F13" s="10">
        <f>SQRT('package 1 evolution'!E52/8)</f>
        <v>0.002985232987</v>
      </c>
    </row>
    <row r="14" ht="22.5" customHeight="1">
      <c r="A14" s="5" t="s">
        <v>12</v>
      </c>
      <c r="B14" s="6">
        <v>0.058618</v>
      </c>
      <c r="C14" s="10">
        <f>'package 2 evolution'!C48/8</f>
        <v>0.056177375</v>
      </c>
      <c r="D14" s="10">
        <f>SQRT('package 2 evolution'!D48/8)</f>
        <v>0.003891422603</v>
      </c>
      <c r="E14" s="11">
        <f>'package 2 evolution'!G48/8</f>
        <v>0.04661750657</v>
      </c>
      <c r="F14" s="10">
        <f>SQRT('package 2 evolution'!E48/8)</f>
        <v>0.003030927166</v>
      </c>
    </row>
    <row r="15" ht="22.5" customHeight="1">
      <c r="A15" s="5" t="s">
        <v>13</v>
      </c>
      <c r="B15" s="7">
        <f>SUM(packages_manual_measurements[Volume])</f>
        <v>0.124638</v>
      </c>
      <c r="C15" s="10">
        <f>Tabela_23[[#TOTALS],[Estimated Volume (m³)]]/6</f>
        <v>0.1305755</v>
      </c>
      <c r="D15" s="10">
        <f>SQRT(Tabela_23[[#TOTALS],[MSE (m)]]/6)</f>
        <v>0.006609200342</v>
      </c>
      <c r="E15" s="11">
        <f>Tabela_23[[#TOTALS],[Absolute Error (%)]]/6</f>
        <v>0.04763795953</v>
      </c>
      <c r="F15" s="10">
        <f>SQRT(Tabela_23[[#TOTALS],[Standard Deviation (m)]]/6)</f>
        <v>0.002903036844</v>
      </c>
    </row>
    <row r="16" ht="22.5" customHeight="1">
      <c r="A16" s="5" t="s">
        <v>14</v>
      </c>
      <c r="B16" s="7">
        <f>SUM(packages_manual_measurements[Volume])</f>
        <v>0.124638</v>
      </c>
      <c r="C16" s="10">
        <f>'package 4 evolution'!C103/7</f>
        <v>0.1289645714</v>
      </c>
      <c r="D16" s="10">
        <f>SQRT('package 4 evolution'!D103/7)</f>
        <v>0.004995404488</v>
      </c>
      <c r="E16" s="11">
        <f>'package 4 evolution'!G103/7</f>
        <v>0.03471310057</v>
      </c>
      <c r="F16" s="10">
        <f>SQRT('package 4 evolution'!E103/7)</f>
        <v>0.002496967295</v>
      </c>
    </row>
    <row r="17" ht="22.5" customHeight="1">
      <c r="A17" s="5" t="s">
        <v>15</v>
      </c>
      <c r="B17" s="7">
        <f>SUM(packages_manual_measurements[Volume])</f>
        <v>0.124638</v>
      </c>
      <c r="C17" s="10">
        <f>'package 5 evolution'!C83/8</f>
        <v>0.12396025</v>
      </c>
      <c r="D17" s="10">
        <f>SQRT('package 5 evolution'!D83/8)</f>
        <v>0.002979742648</v>
      </c>
      <c r="E17" s="11">
        <f>'package 5 evolution'!G83/8</f>
        <v>0.01837521462</v>
      </c>
      <c r="F17" s="10">
        <f>SQRT('package 5 evolution'!E83/8)</f>
        <v>0.00290164112</v>
      </c>
    </row>
    <row r="18" ht="22.5" customHeight="1">
      <c r="A18" s="5" t="s">
        <v>16</v>
      </c>
      <c r="B18" s="7">
        <f>SUM(packages_manual_measurements[Volume])</f>
        <v>0.124638</v>
      </c>
      <c r="C18" s="10">
        <f>Tabela_9[[#TOTALS],[Estimated Volume (m³)]]/6</f>
        <v>0.1282713333</v>
      </c>
      <c r="D18" s="10">
        <f>SQRT(Tabela_9[[#TOTALS],[MSE (m)]]/6)</f>
        <v>0.00478757214</v>
      </c>
      <c r="E18" s="11">
        <f>Tabela_9[[#TOTALS],[Absolute Error (%)]]/6</f>
        <v>0.03261712586</v>
      </c>
      <c r="F18" s="10">
        <f>SQRT(Tabela_9[[#TOTALS],[Standard Deviation (m)]]/6)</f>
        <v>0.003117649096</v>
      </c>
    </row>
    <row r="19" ht="22.5" customHeight="1">
      <c r="A19" s="5" t="s">
        <v>17</v>
      </c>
      <c r="B19" s="7">
        <f>SUM(packages_manual_measurements[Volume])</f>
        <v>0.124638</v>
      </c>
      <c r="C19" s="10">
        <f>'package 7 evolution'!C99/8</f>
        <v>0.12248425</v>
      </c>
      <c r="D19" s="10">
        <f>SQRT('package 7 evolution'!D99/8)</f>
        <v>0.005113665442</v>
      </c>
      <c r="E19" s="11">
        <f>'package 7 evolution'!G99/8</f>
        <v>0.03608450071</v>
      </c>
      <c r="F19" s="10">
        <f>SQRT('package 7 evolution'!E99/8)</f>
        <v>0.004637988269</v>
      </c>
      <c r="J19" s="12"/>
    </row>
    <row r="20" ht="22.5" customHeight="1">
      <c r="A20" s="5" t="s">
        <v>18</v>
      </c>
      <c r="B20" s="7">
        <f>SUM(packages_manual_measurements[Volume])</f>
        <v>0.124638</v>
      </c>
      <c r="C20" s="10">
        <f>'package 8 evolution'!C107/6</f>
        <v>0.1325313333</v>
      </c>
      <c r="D20" s="10">
        <f>SQRT('package 8 evolution'!D107/6)</f>
        <v>0.008741863684</v>
      </c>
      <c r="E20" s="11">
        <f>'package 8 evolution'!G107/6</f>
        <v>0.06333007055</v>
      </c>
      <c r="F20" s="10">
        <f>SQRT('package 8 evolution'!E107/6)</f>
        <v>0.003757055969</v>
      </c>
    </row>
    <row r="21" ht="22.5" customHeight="1">
      <c r="A21" s="5" t="s">
        <v>19</v>
      </c>
      <c r="B21" s="7">
        <f>SUM(packages_manual_measurements[Volume])</f>
        <v>0.124638</v>
      </c>
      <c r="C21" s="10">
        <f>'package 9 evolution'!C95/7</f>
        <v>0.1193004286</v>
      </c>
      <c r="D21" s="10">
        <f>SQRT('package 9 evolution'!D95/7)</f>
        <v>0.006995794951</v>
      </c>
      <c r="E21" s="11">
        <f>'package 9 evolution'!G95/7</f>
        <v>0.05113895556</v>
      </c>
      <c r="F21" s="10">
        <f>SQRT('package 9 evolution'!E95/7)</f>
        <v>0.004522331063</v>
      </c>
    </row>
    <row r="23">
      <c r="B23" s="13" t="s">
        <v>20</v>
      </c>
      <c r="E23" s="14">
        <f>('package 1 evolution'!G52+'package 2 evolution'!G48+Tabela_23[[#TOTALS],[Absolute Error (%)]]+'package 4 evolution'!G103+'package 5 evolution'!G83+Tabela_9[[#TOTALS],[Absolute Error (%)]]+'package 7 evolution'!G99+'package 8 evolution'!G107+'package 9 evolution'!G95)/64</f>
        <v>0.04406632619</v>
      </c>
    </row>
    <row r="24">
      <c r="B24" s="13" t="s">
        <v>21</v>
      </c>
      <c r="E24" s="15">
        <f>SQRT(('package 1 evolution'!D52+'package 2 evolution'!D48+Tabela_23[[#TOTALS],[MSE (m)]]+'package 4 evolution'!D103+'package 5 evolution'!D83+Tabela_9[[#TOTALS],[MSE (m)]]+'package 7 evolution'!D99+'package 8 evolution'!D107+'package 9 evolution'!D95)/64)*1000</f>
        <v>5.585945388</v>
      </c>
      <c r="F24" s="15"/>
    </row>
    <row r="25">
      <c r="A25" s="13"/>
      <c r="B25" s="13" t="s">
        <v>22</v>
      </c>
      <c r="E25" s="15">
        <f>SQRT(('package 1 evolution'!E52+'package 2 evolution'!E48+Tabela_23[[#TOTALS],[Standard Deviation (m)]]+'package 4 evolution'!E103+'package 5 evolution'!E83+Tabela_9[[#TOTALS],[Standard Deviation (m)]]+'package 7 evolution'!E99+'package 8 evolution'!E107+'package 9 evolution'!E95)/64)*1000</f>
        <v>3.456447717</v>
      </c>
      <c r="F25" s="16"/>
    </row>
    <row r="26">
      <c r="A26" s="13"/>
      <c r="B26" s="13" t="s">
        <v>23</v>
      </c>
      <c r="E26" s="3">
        <f>AVERAGE(B32:B38)</f>
        <v>7189.652211</v>
      </c>
      <c r="F26" s="3">
        <f>AVERAGE(Tabela_31[Points])</f>
        <v>6344.896164</v>
      </c>
    </row>
    <row r="27">
      <c r="A27" s="13" t="s">
        <v>24</v>
      </c>
      <c r="B27" s="13" t="s">
        <v>25</v>
      </c>
      <c r="E27" s="15">
        <f>AVERAGE(C32:C38)</f>
        <v>31.54663265</v>
      </c>
      <c r="F27" s="15">
        <f>AVERAGE(Tabela_31[Execution time (s)])</f>
        <v>27.77946429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22.5" customHeight="1">
      <c r="A29" s="8" t="s">
        <v>26</v>
      </c>
      <c r="B29" s="17" t="s">
        <v>27</v>
      </c>
      <c r="C29" s="17" t="s">
        <v>28</v>
      </c>
      <c r="D29" s="1"/>
      <c r="E29" s="1"/>
      <c r="F29" s="1"/>
      <c r="G29" s="1"/>
      <c r="H29" s="1"/>
      <c r="I29" s="1"/>
    </row>
    <row r="30" ht="22.5" customHeight="1">
      <c r="A30" s="5" t="s">
        <v>29</v>
      </c>
      <c r="B30" s="18">
        <f>'package 1 evolution'!B52/8</f>
        <v>3324.125</v>
      </c>
      <c r="C30" s="19">
        <f>'package 1 evolution'!F52/8</f>
        <v>13.755</v>
      </c>
      <c r="D30" s="2"/>
      <c r="E30" s="2"/>
      <c r="F30" s="2"/>
      <c r="G30" s="2"/>
      <c r="H30" s="20"/>
      <c r="I30" s="20"/>
      <c r="J30" s="3"/>
    </row>
    <row r="31" ht="22.5" customHeight="1">
      <c r="A31" s="5" t="s">
        <v>30</v>
      </c>
      <c r="B31" s="18">
        <f>'package 2 evolution'!B48/8</f>
        <v>3452.375</v>
      </c>
      <c r="C31" s="19">
        <f>'package 2 evolution'!F48/8</f>
        <v>15.43375</v>
      </c>
    </row>
    <row r="32" ht="22.5" customHeight="1">
      <c r="A32" s="5" t="s">
        <v>31</v>
      </c>
      <c r="B32" s="18">
        <f>Tabela_23[[#TOTALS],[Number of Points]]/6</f>
        <v>8402</v>
      </c>
      <c r="C32" s="19">
        <f>Tabela_23[[#TOTALS],[Execution Time (s)]]/6</f>
        <v>36.77333333</v>
      </c>
    </row>
    <row r="33" ht="22.5" customHeight="1">
      <c r="A33" s="5" t="s">
        <v>32</v>
      </c>
      <c r="B33" s="18">
        <f>'package 4 evolution'!B103/7</f>
        <v>6436</v>
      </c>
      <c r="C33" s="19">
        <f>'package 4 evolution'!F103/7</f>
        <v>26.69142857</v>
      </c>
    </row>
    <row r="34" ht="22.5" customHeight="1">
      <c r="A34" s="5" t="s">
        <v>33</v>
      </c>
      <c r="B34" s="18">
        <f>'package 5 evolution'!B83/8</f>
        <v>7088.75</v>
      </c>
      <c r="C34" s="19">
        <f>'package 5 evolution'!F83/8</f>
        <v>30.72125</v>
      </c>
    </row>
    <row r="35" ht="22.5" customHeight="1">
      <c r="A35" s="5" t="s">
        <v>34</v>
      </c>
      <c r="B35" s="18">
        <f>Tabela_9[[#TOTALS],[Number of Points]]/6</f>
        <v>6267.333333</v>
      </c>
      <c r="C35" s="19">
        <f>Tabela_9[[#TOTALS],[Execution Time (s)]]/6</f>
        <v>25.685</v>
      </c>
    </row>
    <row r="36" ht="22.5" customHeight="1">
      <c r="A36" s="5" t="s">
        <v>35</v>
      </c>
      <c r="B36" s="18">
        <f>'package 7 evolution'!B99/8</f>
        <v>6284.625</v>
      </c>
      <c r="C36" s="19">
        <f>'package 7 evolution'!F99/8</f>
        <v>26.85375</v>
      </c>
    </row>
    <row r="37" ht="22.5" customHeight="1">
      <c r="A37" s="5" t="s">
        <v>36</v>
      </c>
      <c r="B37" s="18">
        <f>'package 8 evolution'!B107/6</f>
        <v>7017</v>
      </c>
      <c r="C37" s="19">
        <f>'package 8 evolution'!F107/6</f>
        <v>30.82166667</v>
      </c>
    </row>
    <row r="38" ht="22.5" customHeight="1">
      <c r="A38" s="5" t="s">
        <v>37</v>
      </c>
      <c r="B38" s="18">
        <f>'package 9 evolution'!B95/7</f>
        <v>8831.857143</v>
      </c>
      <c r="C38" s="19">
        <f>'package 9 evolution'!F95/7</f>
        <v>43.28</v>
      </c>
    </row>
    <row r="53">
      <c r="C53" s="20"/>
      <c r="D53" s="20"/>
      <c r="E53" s="20"/>
      <c r="F53" s="20"/>
      <c r="G53" s="20"/>
      <c r="I53" s="20"/>
      <c r="L53" s="20"/>
    </row>
    <row r="54">
      <c r="B54" s="1"/>
      <c r="C54" s="2"/>
      <c r="D54" s="2"/>
      <c r="E54" s="2"/>
      <c r="F54" s="2"/>
      <c r="G54" s="2"/>
      <c r="L54" s="2"/>
    </row>
    <row r="56">
      <c r="K56" s="21"/>
    </row>
    <row r="58">
      <c r="C58" s="20"/>
      <c r="D58" s="20"/>
      <c r="E58" s="20"/>
      <c r="F58" s="20"/>
      <c r="H58" s="20"/>
      <c r="I58" s="20"/>
      <c r="J58" s="20"/>
      <c r="K58" s="20"/>
      <c r="L58" s="20"/>
    </row>
    <row r="59">
      <c r="B59" s="1"/>
      <c r="C59" s="2"/>
      <c r="D59" s="2"/>
      <c r="E59" s="2"/>
      <c r="F59" s="2"/>
      <c r="H59" s="2"/>
      <c r="I59" s="22"/>
      <c r="J59" s="2"/>
      <c r="K59" s="2"/>
      <c r="L59" s="2"/>
    </row>
    <row r="62">
      <c r="B62" s="23"/>
      <c r="D62" s="23"/>
    </row>
    <row r="63">
      <c r="B63" s="24"/>
      <c r="C63" s="25"/>
      <c r="D63" s="14"/>
      <c r="E63" s="16"/>
      <c r="F63" s="16"/>
      <c r="G63" s="3"/>
      <c r="H63" s="15"/>
    </row>
    <row r="64">
      <c r="B64" s="24"/>
      <c r="C64" s="25"/>
      <c r="D64" s="14"/>
      <c r="E64" s="16"/>
      <c r="F64" s="16"/>
      <c r="G64" s="3"/>
      <c r="H64" s="15"/>
    </row>
    <row r="65">
      <c r="B65" s="26"/>
      <c r="C65" s="16"/>
      <c r="D65" s="14"/>
      <c r="E65" s="16"/>
      <c r="F65" s="16"/>
      <c r="G65" s="3"/>
      <c r="H65" s="15"/>
    </row>
    <row r="66">
      <c r="B66" s="27"/>
      <c r="C66" s="25"/>
      <c r="D66" s="14"/>
      <c r="E66" s="16"/>
      <c r="F66" s="16"/>
      <c r="G66" s="3"/>
      <c r="H66" s="15"/>
    </row>
    <row r="67">
      <c r="B67" s="27"/>
      <c r="C67" s="25"/>
      <c r="D67" s="14"/>
      <c r="E67" s="16"/>
      <c r="F67" s="16"/>
      <c r="G67" s="3"/>
      <c r="H67" s="15"/>
    </row>
    <row r="68">
      <c r="B68" s="27"/>
      <c r="C68" s="25"/>
      <c r="D68" s="14"/>
      <c r="E68" s="16"/>
      <c r="F68" s="16"/>
      <c r="G68" s="3"/>
      <c r="H68" s="15"/>
    </row>
    <row r="69">
      <c r="B69" s="26"/>
      <c r="C69" s="25"/>
      <c r="D69" s="14"/>
      <c r="E69" s="16"/>
      <c r="F69" s="16"/>
      <c r="G69" s="3"/>
      <c r="H69" s="15"/>
    </row>
    <row r="70">
      <c r="B70" s="27"/>
      <c r="C70" s="25"/>
      <c r="D70" s="14"/>
      <c r="E70" s="16"/>
      <c r="F70" s="16"/>
      <c r="G70" s="3"/>
      <c r="H70" s="15"/>
    </row>
    <row r="71">
      <c r="B71" s="27"/>
      <c r="C71" s="25"/>
      <c r="D71" s="14"/>
      <c r="E71" s="16"/>
      <c r="F71" s="16"/>
      <c r="G71" s="3"/>
      <c r="H71" s="15"/>
    </row>
  </sheetData>
  <dataValidations>
    <dataValidation type="custom" allowBlank="1" showDropDown="1" sqref="B5:B6 C13:F21 B30:C38">
      <formula1>AND(ISNUMBER(B5),(NOT(OR(NOT(ISERROR(DATEVALUE(B5))), AND(ISNUMBER(B5), LEFT(CELL("format", B5))="D")))))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5"/>
    <col customWidth="1" min="3" max="3" width="25.63"/>
    <col customWidth="1" min="4" max="4" width="20.38"/>
    <col customWidth="1" min="5" max="5" width="21.75"/>
    <col customWidth="1" min="6" max="6" width="21.38"/>
    <col customWidth="1" min="7" max="7" width="22.13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30">
        <v>526.0</v>
      </c>
      <c r="B2" s="30">
        <v>1.65</v>
      </c>
      <c r="C2" s="31" t="s">
        <v>43</v>
      </c>
      <c r="D2" s="30">
        <v>0.007766</v>
      </c>
      <c r="E2" s="30">
        <v>0.00812</v>
      </c>
    </row>
    <row r="3" ht="22.5" customHeight="1">
      <c r="A3" s="30">
        <v>606.0</v>
      </c>
      <c r="B3" s="30">
        <v>1.76</v>
      </c>
      <c r="C3" s="30">
        <v>0.009461</v>
      </c>
      <c r="D3" s="30">
        <v>0.008006</v>
      </c>
      <c r="E3" s="30">
        <v>0.008734</v>
      </c>
    </row>
    <row r="4" ht="22.5" customHeight="1">
      <c r="A4" s="30">
        <v>691.0</v>
      </c>
      <c r="B4" s="30">
        <v>1.87</v>
      </c>
      <c r="C4" s="30">
        <v>0.016308</v>
      </c>
      <c r="D4" s="30">
        <v>0.009966</v>
      </c>
      <c r="E4" s="30">
        <v>0.013137</v>
      </c>
    </row>
    <row r="5" ht="22.5" customHeight="1">
      <c r="A5" s="30">
        <v>814.0</v>
      </c>
      <c r="B5" s="30">
        <v>1.99</v>
      </c>
      <c r="C5" s="30">
        <v>0.025131</v>
      </c>
      <c r="D5" s="30">
        <v>0.014887</v>
      </c>
      <c r="E5" s="30">
        <v>0.020009</v>
      </c>
    </row>
    <row r="6" ht="22.5" customHeight="1">
      <c r="A6" s="30">
        <v>903.0</v>
      </c>
      <c r="B6" s="30">
        <v>2.11</v>
      </c>
      <c r="C6" s="30">
        <v>0.027364</v>
      </c>
      <c r="D6" s="30">
        <v>0.016659</v>
      </c>
      <c r="E6" s="30">
        <v>0.022011</v>
      </c>
    </row>
    <row r="7" ht="22.5" customHeight="1">
      <c r="A7" s="30">
        <v>997.0</v>
      </c>
      <c r="B7" s="30">
        <v>2.24</v>
      </c>
      <c r="C7" s="32">
        <v>0.0338</v>
      </c>
      <c r="D7" s="30">
        <v>0.017893</v>
      </c>
      <c r="E7" s="30">
        <v>0.025846</v>
      </c>
    </row>
    <row r="8" ht="22.5" customHeight="1">
      <c r="A8" s="30">
        <v>1066.0</v>
      </c>
      <c r="B8" s="30">
        <v>2.37</v>
      </c>
      <c r="C8" s="30">
        <v>0.033672</v>
      </c>
      <c r="D8" s="30">
        <v>0.019577</v>
      </c>
      <c r="E8" s="30">
        <v>0.026625</v>
      </c>
    </row>
    <row r="9" ht="22.5" customHeight="1">
      <c r="A9" s="30">
        <v>1188.0</v>
      </c>
      <c r="B9" s="30">
        <v>2.52</v>
      </c>
      <c r="C9" s="30">
        <v>0.032762</v>
      </c>
      <c r="D9" s="30">
        <v>0.026137</v>
      </c>
      <c r="E9" s="30">
        <v>0.029449</v>
      </c>
    </row>
    <row r="10" ht="22.5" customHeight="1">
      <c r="A10" s="30">
        <v>1279.0</v>
      </c>
      <c r="B10" s="30">
        <v>2.67</v>
      </c>
      <c r="C10" s="30">
        <v>0.036072</v>
      </c>
      <c r="D10" s="30">
        <v>0.027939</v>
      </c>
      <c r="E10" s="30">
        <v>0.032005</v>
      </c>
    </row>
    <row r="11" ht="22.5" customHeight="1">
      <c r="A11" s="30">
        <v>1425.0</v>
      </c>
      <c r="B11" s="30">
        <v>2.83</v>
      </c>
      <c r="C11" s="30">
        <v>0.045967</v>
      </c>
      <c r="D11" s="30">
        <v>0.034521</v>
      </c>
      <c r="E11" s="30">
        <v>0.040244</v>
      </c>
    </row>
    <row r="12" ht="22.5" customHeight="1">
      <c r="A12" s="30">
        <v>1508.0</v>
      </c>
      <c r="B12" s="30">
        <v>3.01</v>
      </c>
      <c r="C12" s="30">
        <v>0.046049</v>
      </c>
      <c r="D12" s="30">
        <v>0.039854</v>
      </c>
      <c r="E12" s="30">
        <v>0.042951</v>
      </c>
    </row>
    <row r="13" ht="22.5" customHeight="1">
      <c r="A13" s="30">
        <v>1613.0</v>
      </c>
      <c r="B13" s="30">
        <v>3.2</v>
      </c>
      <c r="C13" s="30">
        <v>0.050635</v>
      </c>
      <c r="D13" s="30">
        <v>0.044744</v>
      </c>
      <c r="E13" s="30">
        <v>0.047689</v>
      </c>
    </row>
    <row r="14" ht="22.5" customHeight="1">
      <c r="A14" s="30">
        <v>1727.0</v>
      </c>
      <c r="B14" s="30">
        <v>3.39</v>
      </c>
      <c r="C14" s="32">
        <v>0.05232</v>
      </c>
      <c r="D14" s="30">
        <v>0.048072</v>
      </c>
      <c r="E14" s="30">
        <v>0.050196</v>
      </c>
    </row>
    <row r="15" ht="22.5" customHeight="1">
      <c r="A15" s="30">
        <v>1801.0</v>
      </c>
      <c r="B15" s="30">
        <v>3.59</v>
      </c>
      <c r="C15" s="30">
        <v>0.052064</v>
      </c>
      <c r="D15" s="32">
        <v>0.0497</v>
      </c>
      <c r="E15" s="30">
        <v>0.050882</v>
      </c>
    </row>
    <row r="16" ht="22.5" customHeight="1">
      <c r="A16" s="30">
        <v>1873.0</v>
      </c>
      <c r="B16" s="30">
        <v>3.8</v>
      </c>
      <c r="C16" s="30">
        <v>0.052324</v>
      </c>
      <c r="D16" s="30">
        <v>0.051112</v>
      </c>
      <c r="E16" s="30">
        <v>0.051718</v>
      </c>
    </row>
    <row r="17" ht="22.5" customHeight="1">
      <c r="A17" s="30">
        <v>1943.0</v>
      </c>
      <c r="B17" s="30">
        <v>4.02</v>
      </c>
      <c r="C17" s="30">
        <v>0.055652</v>
      </c>
      <c r="D17" s="30">
        <v>0.052244</v>
      </c>
      <c r="E17" s="30">
        <v>0.053948</v>
      </c>
    </row>
    <row r="18" ht="22.5" customHeight="1">
      <c r="A18" s="30">
        <v>2049.0</v>
      </c>
      <c r="B18" s="30">
        <v>4.23</v>
      </c>
      <c r="C18" s="32">
        <v>0.05401</v>
      </c>
      <c r="D18" s="30">
        <v>0.055635</v>
      </c>
      <c r="E18" s="30">
        <v>0.054822</v>
      </c>
    </row>
    <row r="19" ht="22.5" customHeight="1">
      <c r="A19" s="30">
        <v>2139.0</v>
      </c>
      <c r="B19" s="30">
        <v>4.44</v>
      </c>
      <c r="C19" s="30">
        <v>0.053765</v>
      </c>
      <c r="D19" s="32">
        <v>0.05654</v>
      </c>
      <c r="E19" s="30">
        <v>0.055152</v>
      </c>
    </row>
    <row r="20" ht="22.5" customHeight="1">
      <c r="A20" s="30">
        <v>2210.0</v>
      </c>
      <c r="B20" s="30">
        <v>4.67</v>
      </c>
      <c r="C20" s="30">
        <v>0.054264</v>
      </c>
      <c r="D20" s="30">
        <v>0.057852</v>
      </c>
      <c r="E20" s="30">
        <v>0.056058</v>
      </c>
    </row>
    <row r="21" ht="22.5" customHeight="1">
      <c r="A21" s="30">
        <v>2280.0</v>
      </c>
      <c r="B21" s="30">
        <v>4.91</v>
      </c>
      <c r="C21" s="30">
        <v>0.054468</v>
      </c>
      <c r="D21" s="30">
        <v>0.058692</v>
      </c>
      <c r="E21" s="32">
        <v>0.05658</v>
      </c>
    </row>
    <row r="22" ht="22.5" customHeight="1">
      <c r="A22" s="30">
        <v>2335.0</v>
      </c>
      <c r="B22" s="30">
        <v>5.13</v>
      </c>
      <c r="C22" s="30">
        <v>0.054335</v>
      </c>
      <c r="D22" s="30">
        <v>0.059276</v>
      </c>
      <c r="E22" s="30">
        <v>0.056806</v>
      </c>
    </row>
    <row r="23" ht="22.5" customHeight="1">
      <c r="A23" s="30">
        <v>2446.0</v>
      </c>
      <c r="B23" s="30">
        <v>5.37</v>
      </c>
      <c r="C23" s="32">
        <v>0.06018</v>
      </c>
      <c r="D23" s="30">
        <v>0.061603</v>
      </c>
      <c r="E23" s="30">
        <v>0.060892</v>
      </c>
    </row>
    <row r="24" ht="22.5" customHeight="1">
      <c r="A24" s="30">
        <v>2544.0</v>
      </c>
      <c r="B24" s="30">
        <v>5.62</v>
      </c>
      <c r="C24" s="32">
        <v>0.05948</v>
      </c>
      <c r="D24" s="30">
        <v>0.063958</v>
      </c>
      <c r="E24" s="30">
        <v>0.061719</v>
      </c>
    </row>
    <row r="25" ht="22.5" customHeight="1">
      <c r="A25" s="30">
        <v>2614.0</v>
      </c>
      <c r="B25" s="30">
        <v>5.88</v>
      </c>
      <c r="C25" s="30">
        <v>0.058983</v>
      </c>
      <c r="D25" s="30">
        <v>0.065026</v>
      </c>
      <c r="E25" s="30">
        <v>0.062004</v>
      </c>
    </row>
    <row r="26" ht="22.5" customHeight="1">
      <c r="A26" s="30">
        <v>2699.0</v>
      </c>
      <c r="B26" s="30">
        <v>6.15</v>
      </c>
      <c r="C26" s="30">
        <v>0.059568</v>
      </c>
      <c r="D26" s="30">
        <v>0.065757</v>
      </c>
      <c r="E26" s="30">
        <v>0.062662</v>
      </c>
    </row>
    <row r="27" ht="22.5" customHeight="1">
      <c r="A27" s="30">
        <v>2763.0</v>
      </c>
      <c r="B27" s="30">
        <v>6.42</v>
      </c>
      <c r="C27" s="30">
        <v>0.059416</v>
      </c>
      <c r="D27" s="30">
        <v>0.066408</v>
      </c>
      <c r="E27" s="30">
        <v>0.062912</v>
      </c>
    </row>
    <row r="28" ht="22.5" customHeight="1">
      <c r="A28" s="30">
        <v>2829.0</v>
      </c>
      <c r="B28" s="30">
        <v>6.69</v>
      </c>
      <c r="C28" s="30">
        <v>0.059538</v>
      </c>
      <c r="D28" s="30">
        <v>0.067056</v>
      </c>
      <c r="E28" s="30">
        <v>0.063297</v>
      </c>
    </row>
    <row r="29" ht="22.5" customHeight="1">
      <c r="A29" s="30">
        <v>2917.0</v>
      </c>
      <c r="B29" s="30">
        <v>6.98</v>
      </c>
      <c r="C29" s="30">
        <v>0.059806</v>
      </c>
      <c r="D29" s="30">
        <v>0.072445</v>
      </c>
      <c r="E29" s="30">
        <v>0.066126</v>
      </c>
    </row>
    <row r="30" ht="22.5" customHeight="1">
      <c r="A30" s="30">
        <v>2983.0</v>
      </c>
      <c r="B30" s="30">
        <v>7.26</v>
      </c>
      <c r="C30" s="30">
        <v>0.060913</v>
      </c>
      <c r="D30" s="30">
        <v>0.070765</v>
      </c>
      <c r="E30" s="30">
        <v>0.065839</v>
      </c>
    </row>
    <row r="31" ht="22.5" customHeight="1">
      <c r="A31" s="30">
        <v>3053.0</v>
      </c>
      <c r="B31" s="30">
        <v>7.56</v>
      </c>
      <c r="C31" s="30">
        <v>0.060861</v>
      </c>
      <c r="D31" s="30">
        <v>0.071315</v>
      </c>
      <c r="E31" s="30">
        <v>0.066088</v>
      </c>
    </row>
    <row r="32" ht="22.5" customHeight="1">
      <c r="A32" s="30">
        <v>3115.0</v>
      </c>
      <c r="B32" s="30">
        <v>7.86</v>
      </c>
      <c r="C32" s="30">
        <v>0.060777</v>
      </c>
      <c r="D32" s="30">
        <v>0.071482</v>
      </c>
      <c r="E32" s="30">
        <v>0.066129</v>
      </c>
    </row>
    <row r="33" ht="22.5" customHeight="1">
      <c r="A33" s="30">
        <v>3185.0</v>
      </c>
      <c r="B33" s="30">
        <v>8.17</v>
      </c>
      <c r="C33" s="30">
        <v>0.061337</v>
      </c>
      <c r="D33" s="30">
        <v>0.072344</v>
      </c>
      <c r="E33" s="30">
        <v>0.066841</v>
      </c>
    </row>
    <row r="34" ht="22.5" customHeight="1">
      <c r="A34" s="30">
        <v>3265.0</v>
      </c>
      <c r="B34" s="30">
        <v>8.54</v>
      </c>
      <c r="C34" s="30">
        <v>0.060886</v>
      </c>
      <c r="D34" s="30">
        <v>0.072238</v>
      </c>
      <c r="E34" s="30">
        <v>0.066562</v>
      </c>
    </row>
    <row r="35" ht="22.5" customHeight="1">
      <c r="A35" s="30">
        <v>3336.0</v>
      </c>
      <c r="B35" s="30">
        <v>8.86</v>
      </c>
      <c r="C35" s="30">
        <v>0.061214</v>
      </c>
      <c r="D35" s="30">
        <v>0.072481</v>
      </c>
      <c r="E35" s="30">
        <v>0.066847</v>
      </c>
    </row>
    <row r="36" ht="22.5" customHeight="1">
      <c r="A36" s="30">
        <v>3390.0</v>
      </c>
      <c r="B36" s="30">
        <v>9.19</v>
      </c>
      <c r="C36" s="30">
        <v>0.061224</v>
      </c>
      <c r="D36" s="30">
        <v>0.072514</v>
      </c>
      <c r="E36" s="30">
        <v>0.066869</v>
      </c>
    </row>
    <row r="37" ht="22.5" customHeight="1">
      <c r="A37" s="30">
        <v>3456.0</v>
      </c>
      <c r="B37" s="30">
        <v>9.54</v>
      </c>
      <c r="C37" s="30">
        <v>0.061113</v>
      </c>
      <c r="D37" s="30">
        <v>0.072666</v>
      </c>
      <c r="E37" s="32">
        <v>0.06689</v>
      </c>
    </row>
    <row r="41">
      <c r="C41" s="33" t="s">
        <v>44</v>
      </c>
      <c r="D41" s="33">
        <v>0.06602</v>
      </c>
    </row>
    <row r="42">
      <c r="A42" s="34"/>
      <c r="B42" s="34"/>
      <c r="C42" s="34"/>
      <c r="D42" s="34"/>
    </row>
    <row r="43" ht="22.5" customHeight="1">
      <c r="A43" s="4" t="s">
        <v>45</v>
      </c>
      <c r="B43" s="4" t="s">
        <v>46</v>
      </c>
      <c r="C43" s="4" t="s">
        <v>47</v>
      </c>
      <c r="D43" s="29" t="s">
        <v>48</v>
      </c>
      <c r="E43" s="29" t="s">
        <v>49</v>
      </c>
      <c r="F43" s="4" t="s">
        <v>39</v>
      </c>
      <c r="G43" s="4" t="s">
        <v>50</v>
      </c>
    </row>
    <row r="44" ht="22.5" customHeight="1">
      <c r="A44" s="35">
        <v>1.0</v>
      </c>
      <c r="B44" s="35">
        <v>3449.0</v>
      </c>
      <c r="C44" s="6">
        <v>0.061721</v>
      </c>
      <c r="D44" s="36">
        <f t="shared" ref="D44:D51" si="1">abs(C44-D$41)^2</f>
        <v>0.000018481401</v>
      </c>
      <c r="E44" s="36">
        <f t="shared" ref="E44:E51" si="2">ABS(C44-C$52/8)^2</f>
        <v>0.000000000236390625</v>
      </c>
      <c r="F44" s="37">
        <v>14.97</v>
      </c>
      <c r="G44" s="38">
        <f t="shared" ref="G44:G51" si="3">ABS(C44-D$41)/D$41</f>
        <v>0.06511663132</v>
      </c>
    </row>
    <row r="45" ht="22.5" customHeight="1">
      <c r="A45" s="35">
        <v>2.0</v>
      </c>
      <c r="B45" s="35">
        <v>3747.0</v>
      </c>
      <c r="C45" s="6">
        <v>0.063451</v>
      </c>
      <c r="D45" s="36">
        <f t="shared" si="1"/>
        <v>0.000006599761</v>
      </c>
      <c r="E45" s="36">
        <f t="shared" si="2"/>
        <v>0.000003046333891</v>
      </c>
      <c r="F45" s="37">
        <v>17.37</v>
      </c>
      <c r="G45" s="38">
        <f t="shared" si="3"/>
        <v>0.03891245077</v>
      </c>
    </row>
    <row r="46" ht="22.5" customHeight="1">
      <c r="A46" s="35">
        <v>3.0</v>
      </c>
      <c r="B46" s="35">
        <v>3119.0</v>
      </c>
      <c r="C46" s="6">
        <v>0.058134</v>
      </c>
      <c r="D46" s="36">
        <f t="shared" si="1"/>
        <v>0.000062188996</v>
      </c>
      <c r="E46" s="36">
        <f t="shared" si="2"/>
        <v>0.00001275650514</v>
      </c>
      <c r="F46" s="37">
        <v>13.12</v>
      </c>
      <c r="G46" s="38">
        <f t="shared" si="3"/>
        <v>0.1194486519</v>
      </c>
    </row>
    <row r="47" ht="22.5" customHeight="1">
      <c r="A47" s="35">
        <v>4.0</v>
      </c>
      <c r="B47" s="35">
        <v>3346.0</v>
      </c>
      <c r="C47" s="6">
        <v>0.062601</v>
      </c>
      <c r="D47" s="36">
        <f t="shared" si="1"/>
        <v>0.000011689561</v>
      </c>
      <c r="E47" s="36">
        <f t="shared" si="2"/>
        <v>0.0000008016963906</v>
      </c>
      <c r="F47" s="37">
        <v>14.46</v>
      </c>
      <c r="G47" s="38">
        <f t="shared" si="3"/>
        <v>0.05178733717</v>
      </c>
    </row>
    <row r="48" ht="22.5" customHeight="1">
      <c r="A48" s="35">
        <v>5.0</v>
      </c>
      <c r="B48" s="35">
        <v>3576.0</v>
      </c>
      <c r="C48" s="6">
        <v>0.062648</v>
      </c>
      <c r="D48" s="36">
        <f t="shared" si="1"/>
        <v>0.000011370384</v>
      </c>
      <c r="E48" s="36">
        <f t="shared" si="2"/>
        <v>0.0000008880706406</v>
      </c>
      <c r="F48" s="37">
        <v>16.31</v>
      </c>
      <c r="G48" s="38">
        <f t="shared" si="3"/>
        <v>0.05107543169</v>
      </c>
    </row>
    <row r="49" ht="22.5" customHeight="1">
      <c r="A49" s="35">
        <v>6.0</v>
      </c>
      <c r="B49" s="35">
        <v>3123.0</v>
      </c>
      <c r="C49" s="6">
        <v>0.061683</v>
      </c>
      <c r="D49" s="36">
        <f t="shared" si="1"/>
        <v>0.000018809569</v>
      </c>
      <c r="E49" s="36">
        <f t="shared" si="2"/>
        <v>0.000000000511890625</v>
      </c>
      <c r="F49" s="37">
        <v>13.43</v>
      </c>
      <c r="G49" s="38">
        <f t="shared" si="3"/>
        <v>0.06569221448</v>
      </c>
    </row>
    <row r="50" ht="22.5" customHeight="1">
      <c r="A50" s="35">
        <v>7.0</v>
      </c>
      <c r="B50" s="39">
        <v>3456.0</v>
      </c>
      <c r="C50" s="40">
        <v>0.06689</v>
      </c>
      <c r="D50" s="36">
        <f t="shared" si="1"/>
        <v>0.0000007569</v>
      </c>
      <c r="E50" s="36">
        <f t="shared" si="2"/>
        <v>0.00002687774414</v>
      </c>
      <c r="F50" s="30">
        <v>9.54</v>
      </c>
      <c r="G50" s="38">
        <f t="shared" si="3"/>
        <v>0.0131778249</v>
      </c>
    </row>
    <row r="51" ht="22.5" customHeight="1">
      <c r="A51" s="35">
        <v>8.0</v>
      </c>
      <c r="B51" s="35">
        <v>2777.0</v>
      </c>
      <c r="C51" s="6">
        <v>0.056517</v>
      </c>
      <c r="D51" s="36">
        <f t="shared" si="1"/>
        <v>0.000090307009</v>
      </c>
      <c r="E51" s="36">
        <f t="shared" si="2"/>
        <v>0.00002692182939</v>
      </c>
      <c r="F51" s="37">
        <v>10.84</v>
      </c>
      <c r="G51" s="38">
        <f t="shared" si="3"/>
        <v>0.1439412299</v>
      </c>
    </row>
    <row r="52" ht="22.5" customHeight="1">
      <c r="A52" s="41" t="s">
        <v>51</v>
      </c>
      <c r="B52" s="42">
        <f t="shared" ref="B52:G52" si="4">SUM(B44:B51)</f>
        <v>26593</v>
      </c>
      <c r="C52" s="43">
        <f t="shared" si="4"/>
        <v>0.493645</v>
      </c>
      <c r="D52" s="42">
        <f t="shared" si="4"/>
        <v>0.000220203581</v>
      </c>
      <c r="E52" s="42">
        <f t="shared" si="4"/>
        <v>0.00007129292788</v>
      </c>
      <c r="F52" s="42">
        <f t="shared" si="4"/>
        <v>110.04</v>
      </c>
      <c r="G52" s="44">
        <f t="shared" si="4"/>
        <v>0.5491517722</v>
      </c>
    </row>
  </sheetData>
  <dataValidations>
    <dataValidation type="custom" allowBlank="1" showDropDown="1" sqref="A44:C52 G44:G52">
      <formula1>AND(ISNUMBER(A44),(NOT(OR(NOT(ISERROR(DATEVALUE(A44))), AND(ISNUMBER(A44), LEFT(CELL("format", A44))="D")))))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23.88"/>
    <col customWidth="1" min="4" max="4" width="18.38"/>
    <col customWidth="1" min="5" max="5" width="18.5"/>
    <col customWidth="1" min="6" max="6" width="18.38"/>
    <col customWidth="1" min="7" max="7" width="21.0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45">
        <v>515.0</v>
      </c>
      <c r="B2" s="45">
        <v>2.24</v>
      </c>
      <c r="C2" s="45">
        <v>0.013397</v>
      </c>
      <c r="D2" s="45">
        <v>0.008245</v>
      </c>
      <c r="E2" s="45">
        <v>0.010821</v>
      </c>
    </row>
    <row r="3" ht="22.5" customHeight="1">
      <c r="A3" s="45">
        <v>543.0</v>
      </c>
      <c r="B3" s="45">
        <v>2.38</v>
      </c>
      <c r="C3" s="45">
        <v>0.013326</v>
      </c>
      <c r="D3" s="45">
        <v>0.009432</v>
      </c>
      <c r="E3" s="45">
        <v>0.011379</v>
      </c>
    </row>
    <row r="4" ht="22.5" customHeight="1">
      <c r="A4" s="45">
        <v>1114.0</v>
      </c>
      <c r="B4" s="45">
        <v>2.53</v>
      </c>
      <c r="C4" s="45">
        <v>0.028952</v>
      </c>
      <c r="D4" s="45">
        <v>0.021022</v>
      </c>
      <c r="E4" s="45">
        <v>0.024987</v>
      </c>
    </row>
    <row r="5" ht="22.5" customHeight="1">
      <c r="A5" s="45">
        <v>1173.0</v>
      </c>
      <c r="B5" s="45">
        <v>2.67</v>
      </c>
      <c r="C5" s="45">
        <v>0.031812</v>
      </c>
      <c r="D5" s="45">
        <v>0.022401</v>
      </c>
      <c r="E5" s="45">
        <v>0.027106</v>
      </c>
    </row>
    <row r="6" ht="22.5" customHeight="1">
      <c r="A6" s="45">
        <v>1290.0</v>
      </c>
      <c r="B6" s="45">
        <v>2.81</v>
      </c>
      <c r="C6" s="45">
        <v>0.049681</v>
      </c>
      <c r="D6" s="45">
        <v>0.026371</v>
      </c>
      <c r="E6" s="45">
        <v>0.038026</v>
      </c>
    </row>
    <row r="7" ht="22.5" customHeight="1">
      <c r="A7" s="45">
        <v>1371.0</v>
      </c>
      <c r="B7" s="45">
        <v>2.96</v>
      </c>
      <c r="C7" s="45">
        <v>0.048844</v>
      </c>
      <c r="D7" s="45">
        <v>0.028061</v>
      </c>
      <c r="E7" s="45">
        <v>0.038453</v>
      </c>
    </row>
    <row r="8" ht="22.5" customHeight="1">
      <c r="A8" s="45">
        <v>1457.0</v>
      </c>
      <c r="B8" s="45">
        <v>3.1</v>
      </c>
      <c r="C8" s="45">
        <v>0.045801</v>
      </c>
      <c r="D8" s="45">
        <v>0.030787</v>
      </c>
      <c r="E8" s="45">
        <v>0.038294</v>
      </c>
    </row>
    <row r="9" ht="22.5" customHeight="1">
      <c r="A9" s="45">
        <v>1569.0</v>
      </c>
      <c r="B9" s="45">
        <v>3.26</v>
      </c>
      <c r="C9" s="45">
        <v>0.044785</v>
      </c>
      <c r="D9" s="45">
        <v>0.034702</v>
      </c>
      <c r="E9" s="45">
        <v>0.039744</v>
      </c>
    </row>
    <row r="10" ht="22.5" customHeight="1">
      <c r="A10" s="45">
        <v>1626.0</v>
      </c>
      <c r="B10" s="45">
        <v>3.42</v>
      </c>
      <c r="C10" s="45">
        <v>0.045104</v>
      </c>
      <c r="D10" s="46">
        <v>0.03533</v>
      </c>
      <c r="E10" s="45">
        <v>0.040217</v>
      </c>
    </row>
    <row r="11" ht="22.5" customHeight="1">
      <c r="A11" s="45">
        <v>1708.0</v>
      </c>
      <c r="B11" s="45">
        <v>3.59</v>
      </c>
      <c r="C11" s="45">
        <v>0.045707</v>
      </c>
      <c r="D11" s="45">
        <v>0.036844</v>
      </c>
      <c r="E11" s="45">
        <v>0.041275</v>
      </c>
    </row>
    <row r="12" ht="22.5" customHeight="1">
      <c r="A12" s="45">
        <v>1792.0</v>
      </c>
      <c r="B12" s="45">
        <v>3.76</v>
      </c>
      <c r="C12" s="45">
        <v>0.048196</v>
      </c>
      <c r="D12" s="45">
        <v>0.039061</v>
      </c>
      <c r="E12" s="45">
        <v>0.043628</v>
      </c>
    </row>
    <row r="13" ht="22.5" customHeight="1">
      <c r="A13" s="45">
        <v>1844.0</v>
      </c>
      <c r="B13" s="45">
        <v>3.94</v>
      </c>
      <c r="C13" s="45">
        <v>0.04844</v>
      </c>
      <c r="D13" s="45">
        <v>0.039214</v>
      </c>
      <c r="E13" s="45">
        <v>0.043827</v>
      </c>
    </row>
    <row r="14" ht="22.5" customHeight="1">
      <c r="A14" s="45">
        <v>1913.0</v>
      </c>
      <c r="B14" s="45">
        <v>4.13</v>
      </c>
      <c r="C14" s="45">
        <v>0.047515</v>
      </c>
      <c r="D14" s="45">
        <v>0.04085</v>
      </c>
      <c r="E14" s="45">
        <v>0.044182</v>
      </c>
    </row>
    <row r="15" ht="22.5" customHeight="1">
      <c r="A15" s="45">
        <v>1989.0</v>
      </c>
      <c r="B15" s="45">
        <v>4.32</v>
      </c>
      <c r="C15" s="45">
        <v>0.053435</v>
      </c>
      <c r="D15" s="45">
        <v>0.042885</v>
      </c>
      <c r="E15" s="45">
        <v>0.04816</v>
      </c>
    </row>
    <row r="16" ht="22.5" customHeight="1">
      <c r="A16" s="45">
        <v>2072.0</v>
      </c>
      <c r="B16" s="45">
        <v>4.51</v>
      </c>
      <c r="C16" s="45">
        <v>0.05315</v>
      </c>
      <c r="D16" s="45">
        <v>0.043985</v>
      </c>
      <c r="E16" s="45">
        <v>0.048568</v>
      </c>
    </row>
    <row r="17" ht="22.5" customHeight="1">
      <c r="A17" s="45">
        <v>2219.0</v>
      </c>
      <c r="B17" s="45">
        <v>4.7</v>
      </c>
      <c r="C17" s="45">
        <v>0.057396</v>
      </c>
      <c r="D17" s="45">
        <v>0.04938</v>
      </c>
      <c r="E17" s="45">
        <v>0.053388</v>
      </c>
    </row>
    <row r="18" ht="22.5" customHeight="1">
      <c r="A18" s="45">
        <v>2280.0</v>
      </c>
      <c r="B18" s="45">
        <v>4.91</v>
      </c>
      <c r="C18" s="45">
        <v>0.056497</v>
      </c>
      <c r="D18" s="45">
        <v>0.049358</v>
      </c>
      <c r="E18" s="45">
        <v>0.052928</v>
      </c>
    </row>
    <row r="19" ht="22.5" customHeight="1">
      <c r="A19" s="45">
        <v>2346.0</v>
      </c>
      <c r="B19" s="45">
        <v>5.13</v>
      </c>
      <c r="C19" s="45">
        <v>0.056454</v>
      </c>
      <c r="D19" s="45">
        <v>0.053921</v>
      </c>
      <c r="E19" s="45">
        <v>0.055187</v>
      </c>
    </row>
    <row r="20" ht="22.5" customHeight="1">
      <c r="A20" s="45">
        <v>2401.0</v>
      </c>
      <c r="B20" s="45">
        <v>5.35</v>
      </c>
      <c r="C20" s="45">
        <v>0.056389</v>
      </c>
      <c r="D20" s="45">
        <v>0.054423</v>
      </c>
      <c r="E20" s="45">
        <v>0.055406</v>
      </c>
    </row>
    <row r="21" ht="22.5" customHeight="1">
      <c r="A21" s="45">
        <v>2464.0</v>
      </c>
      <c r="B21" s="45">
        <v>5.57</v>
      </c>
      <c r="C21" s="45">
        <v>0.056843</v>
      </c>
      <c r="D21" s="45">
        <v>0.054286</v>
      </c>
      <c r="E21" s="45">
        <v>0.055565</v>
      </c>
    </row>
    <row r="22" ht="22.5" customHeight="1">
      <c r="A22" s="45">
        <v>2523.0</v>
      </c>
      <c r="B22" s="45">
        <v>5.92</v>
      </c>
      <c r="C22" s="45">
        <v>0.056989</v>
      </c>
      <c r="D22" s="45">
        <v>0.05489</v>
      </c>
      <c r="E22" s="45">
        <v>0.055939</v>
      </c>
    </row>
    <row r="23" ht="22.5" customHeight="1">
      <c r="A23" s="45">
        <v>2574.0</v>
      </c>
      <c r="B23" s="45">
        <v>6.18</v>
      </c>
      <c r="C23" s="45">
        <v>0.057194</v>
      </c>
      <c r="D23" s="45">
        <v>0.055032</v>
      </c>
      <c r="E23" s="45">
        <v>0.056113</v>
      </c>
    </row>
    <row r="24" ht="22.5" customHeight="1">
      <c r="A24" s="45">
        <v>2633.0</v>
      </c>
      <c r="B24" s="45">
        <v>6.48</v>
      </c>
      <c r="C24" s="45">
        <v>0.057131</v>
      </c>
      <c r="D24" s="45">
        <v>0.055254</v>
      </c>
      <c r="E24" s="45">
        <v>0.056193</v>
      </c>
    </row>
    <row r="25" ht="22.5" customHeight="1">
      <c r="A25" s="45">
        <v>2710.0</v>
      </c>
      <c r="B25" s="45">
        <v>6.74</v>
      </c>
      <c r="C25" s="45">
        <v>0.057113</v>
      </c>
      <c r="D25" s="45">
        <v>0.055765</v>
      </c>
      <c r="E25" s="45">
        <v>0.056439</v>
      </c>
    </row>
    <row r="26" ht="22.5" customHeight="1">
      <c r="A26" s="45">
        <v>2779.0</v>
      </c>
      <c r="B26" s="45">
        <v>7.02</v>
      </c>
      <c r="C26" s="45">
        <v>0.057192</v>
      </c>
      <c r="D26" s="45">
        <v>0.056529</v>
      </c>
      <c r="E26" s="45">
        <v>0.056861</v>
      </c>
    </row>
    <row r="27" ht="22.5" customHeight="1">
      <c r="A27" s="45">
        <v>2843.0</v>
      </c>
      <c r="B27" s="45">
        <v>7.28</v>
      </c>
      <c r="C27" s="45">
        <v>0.05707</v>
      </c>
      <c r="D27" s="45">
        <v>0.057135</v>
      </c>
      <c r="E27" s="45">
        <v>0.057103</v>
      </c>
    </row>
    <row r="28" ht="22.5" customHeight="1">
      <c r="A28" s="45">
        <v>2899.0</v>
      </c>
      <c r="B28" s="45">
        <v>7.55</v>
      </c>
      <c r="C28" s="45">
        <v>0.057081</v>
      </c>
      <c r="D28" s="45">
        <v>0.057349</v>
      </c>
      <c r="E28" s="45">
        <v>0.057215</v>
      </c>
    </row>
    <row r="29" ht="22.5" customHeight="1">
      <c r="A29" s="45">
        <v>2951.0</v>
      </c>
      <c r="B29" s="45">
        <v>7.83</v>
      </c>
      <c r="C29" s="45">
        <v>0.05716</v>
      </c>
      <c r="D29" s="45">
        <v>0.05738</v>
      </c>
      <c r="E29" s="45">
        <v>0.05727</v>
      </c>
    </row>
    <row r="30" ht="22.5" customHeight="1">
      <c r="A30" s="45">
        <v>3029.0</v>
      </c>
      <c r="B30" s="45">
        <v>8.11</v>
      </c>
      <c r="C30" s="45">
        <v>0.057315</v>
      </c>
      <c r="D30" s="45">
        <v>0.057306</v>
      </c>
      <c r="E30" s="45">
        <v>0.057311</v>
      </c>
    </row>
    <row r="31" ht="22.5" customHeight="1">
      <c r="A31" s="45">
        <v>3087.0</v>
      </c>
      <c r="B31" s="45">
        <v>8.4</v>
      </c>
      <c r="C31" s="45">
        <v>0.057432</v>
      </c>
      <c r="D31" s="45">
        <v>0.057452</v>
      </c>
      <c r="E31" s="45">
        <v>0.057442</v>
      </c>
    </row>
    <row r="32" ht="22.5" customHeight="1">
      <c r="A32" s="45">
        <v>3165.0</v>
      </c>
      <c r="B32" s="45">
        <v>8.72</v>
      </c>
      <c r="C32" s="45">
        <v>0.057571</v>
      </c>
      <c r="D32" s="45">
        <v>0.058136</v>
      </c>
      <c r="E32" s="45">
        <v>0.057853</v>
      </c>
    </row>
    <row r="33" ht="22.5" customHeight="1">
      <c r="A33" s="45">
        <v>3233.0</v>
      </c>
      <c r="B33" s="45">
        <v>9.06</v>
      </c>
      <c r="C33" s="45">
        <v>0.057568</v>
      </c>
      <c r="D33" s="45">
        <v>0.058115</v>
      </c>
      <c r="E33" s="45">
        <v>0.057842</v>
      </c>
    </row>
    <row r="34" ht="22.5" customHeight="1">
      <c r="A34" s="45">
        <v>3285.0</v>
      </c>
      <c r="B34" s="45">
        <v>9.4</v>
      </c>
      <c r="C34" s="45">
        <v>0.057603</v>
      </c>
      <c r="D34" s="45">
        <v>0.058106</v>
      </c>
      <c r="E34" s="45">
        <v>0.057854</v>
      </c>
    </row>
    <row r="35" ht="22.5" customHeight="1">
      <c r="A35" s="47"/>
      <c r="B35" s="47"/>
      <c r="C35" s="47"/>
      <c r="D35" s="47"/>
      <c r="E35" s="47"/>
    </row>
    <row r="37">
      <c r="A37" s="13" t="s">
        <v>52</v>
      </c>
      <c r="B37" s="13"/>
      <c r="C37" s="33" t="s">
        <v>44</v>
      </c>
      <c r="D37" s="48">
        <v>0.058618</v>
      </c>
    </row>
    <row r="38">
      <c r="A38" s="34"/>
      <c r="B38" s="34"/>
      <c r="C38" s="34"/>
      <c r="D38" s="34"/>
    </row>
    <row r="39" ht="22.5" customHeight="1">
      <c r="A39" s="4" t="s">
        <v>45</v>
      </c>
      <c r="B39" s="4" t="s">
        <v>46</v>
      </c>
      <c r="C39" s="4" t="s">
        <v>47</v>
      </c>
      <c r="D39" s="29" t="s">
        <v>48</v>
      </c>
      <c r="E39" s="29" t="s">
        <v>49</v>
      </c>
      <c r="F39" s="4" t="s">
        <v>39</v>
      </c>
      <c r="G39" s="4" t="s">
        <v>50</v>
      </c>
    </row>
    <row r="40" ht="22.5" customHeight="1">
      <c r="A40" s="35">
        <v>1.0</v>
      </c>
      <c r="B40" s="35">
        <v>4322.0</v>
      </c>
      <c r="C40" s="6">
        <v>0.059389</v>
      </c>
      <c r="D40" s="49">
        <f t="shared" ref="D40:D47" si="1">abs(C40-D$37)^2</f>
        <v>0.000000594441</v>
      </c>
      <c r="E40" s="36">
        <f t="shared" ref="E40:E47" si="2">(C40-C$48/8)^2</f>
        <v>0.00001031453514</v>
      </c>
      <c r="F40" s="37">
        <v>22.68</v>
      </c>
      <c r="G40" s="38">
        <f t="shared" ref="G40:G47" si="3">ABS(C40-D$37)/D$37</f>
        <v>0.01315295643</v>
      </c>
    </row>
    <row r="41" ht="22.5" customHeight="1">
      <c r="A41" s="35">
        <v>2.0</v>
      </c>
      <c r="B41" s="35">
        <v>3232.0</v>
      </c>
      <c r="C41" s="6">
        <v>0.057355</v>
      </c>
      <c r="D41" s="49">
        <f t="shared" si="1"/>
        <v>0.000001595169</v>
      </c>
      <c r="E41" s="36">
        <f t="shared" si="2"/>
        <v>0.000001386800641</v>
      </c>
      <c r="F41" s="37">
        <v>14.44</v>
      </c>
      <c r="G41" s="38">
        <f t="shared" si="3"/>
        <v>0.02154628271</v>
      </c>
    </row>
    <row r="42" ht="22.5" customHeight="1">
      <c r="A42" s="35">
        <v>3.0</v>
      </c>
      <c r="B42" s="45">
        <v>3285.0</v>
      </c>
      <c r="C42" s="50">
        <v>0.057854</v>
      </c>
      <c r="D42" s="49">
        <f t="shared" si="1"/>
        <v>0.000000583696</v>
      </c>
      <c r="E42" s="36">
        <f t="shared" si="2"/>
        <v>0.000002811071391</v>
      </c>
      <c r="F42" s="45">
        <v>9.4</v>
      </c>
      <c r="G42" s="38">
        <f t="shared" si="3"/>
        <v>0.01303353919</v>
      </c>
    </row>
    <row r="43" ht="22.5" customHeight="1">
      <c r="A43" s="35">
        <v>4.0</v>
      </c>
      <c r="B43" s="35">
        <v>3338.0</v>
      </c>
      <c r="C43" s="6">
        <v>0.054298</v>
      </c>
      <c r="D43" s="49">
        <f t="shared" si="1"/>
        <v>0.0000186624</v>
      </c>
      <c r="E43" s="36">
        <f t="shared" si="2"/>
        <v>0.000003532050391</v>
      </c>
      <c r="F43" s="37">
        <v>14.74</v>
      </c>
      <c r="G43" s="38">
        <f t="shared" si="3"/>
        <v>0.07369749906</v>
      </c>
    </row>
    <row r="44" ht="22.5" customHeight="1">
      <c r="A44" s="35">
        <v>5.0</v>
      </c>
      <c r="B44" s="35">
        <v>4338.0</v>
      </c>
      <c r="C44" s="6">
        <v>0.059015</v>
      </c>
      <c r="D44" s="49">
        <f t="shared" si="1"/>
        <v>0.000000157609</v>
      </c>
      <c r="E44" s="36">
        <f t="shared" si="2"/>
        <v>0.000008052115641</v>
      </c>
      <c r="F44" s="37">
        <v>23.04</v>
      </c>
      <c r="G44" s="38">
        <f t="shared" si="3"/>
        <v>0.006772663687</v>
      </c>
    </row>
    <row r="45" ht="22.5" customHeight="1">
      <c r="A45" s="35">
        <v>6.0</v>
      </c>
      <c r="B45" s="35">
        <v>2782.0</v>
      </c>
      <c r="C45" s="6">
        <v>0.05136</v>
      </c>
      <c r="D45" s="49">
        <f t="shared" si="1"/>
        <v>0.000052678564</v>
      </c>
      <c r="E45" s="36">
        <f t="shared" si="2"/>
        <v>0.00002320710189</v>
      </c>
      <c r="F45" s="37">
        <v>10.86</v>
      </c>
      <c r="G45" s="38">
        <f t="shared" si="3"/>
        <v>0.1238186223</v>
      </c>
    </row>
    <row r="46" ht="22.5" customHeight="1">
      <c r="A46" s="35">
        <v>7.0</v>
      </c>
      <c r="B46" s="35">
        <v>2502.0</v>
      </c>
      <c r="C46" s="6">
        <v>0.051776</v>
      </c>
      <c r="D46" s="49">
        <f t="shared" si="1"/>
        <v>0.000046812964</v>
      </c>
      <c r="E46" s="36">
        <f t="shared" si="2"/>
        <v>0.00001937210189</v>
      </c>
      <c r="F46" s="37">
        <v>9.36</v>
      </c>
      <c r="G46" s="38">
        <f t="shared" si="3"/>
        <v>0.1167218261</v>
      </c>
    </row>
    <row r="47" ht="22.5" customHeight="1">
      <c r="A47" s="35">
        <v>8.0</v>
      </c>
      <c r="B47" s="35">
        <v>3820.0</v>
      </c>
      <c r="C47" s="6">
        <v>0.058372</v>
      </c>
      <c r="D47" s="49">
        <f t="shared" si="1"/>
        <v>0.000000060516</v>
      </c>
      <c r="E47" s="36">
        <f t="shared" si="2"/>
        <v>0.000004816378891</v>
      </c>
      <c r="F47" s="37">
        <v>18.95</v>
      </c>
      <c r="G47" s="38">
        <f t="shared" si="3"/>
        <v>0.004196663141</v>
      </c>
    </row>
    <row r="48" ht="22.5" customHeight="1">
      <c r="A48" s="51" t="s">
        <v>51</v>
      </c>
      <c r="B48" s="51">
        <f t="shared" ref="B48:G48" si="4">SUM(B40:B47)</f>
        <v>27619</v>
      </c>
      <c r="C48" s="52">
        <f t="shared" si="4"/>
        <v>0.449419</v>
      </c>
      <c r="D48" s="53">
        <f t="shared" si="4"/>
        <v>0.000121145359</v>
      </c>
      <c r="E48" s="51">
        <f t="shared" si="4"/>
        <v>0.00007349215587</v>
      </c>
      <c r="F48" s="52">
        <f t="shared" si="4"/>
        <v>123.47</v>
      </c>
      <c r="G48" s="44">
        <f t="shared" si="4"/>
        <v>0.3729400525</v>
      </c>
    </row>
    <row r="49">
      <c r="A49" s="13"/>
      <c r="B49" s="13"/>
    </row>
  </sheetData>
  <dataValidations>
    <dataValidation type="custom" allowBlank="1" showDropDown="1" sqref="A40:C48 G40:G48">
      <formula1>AND(ISNUMBER(A40),(NOT(OR(NOT(ISERROR(DATEVALUE(A40))), AND(ISNUMBER(A40), LEFT(CELL("format", A40))="D")))))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3.88"/>
    <col customWidth="1" min="3" max="3" width="18.38"/>
    <col customWidth="1" min="4" max="4" width="18.5"/>
    <col customWidth="1" min="5" max="5" width="18.38"/>
    <col customWidth="1" min="7" max="7" width="20.5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  <c r="F1" s="54"/>
      <c r="G1" s="54"/>
      <c r="H1" s="54"/>
      <c r="I1" s="54"/>
      <c r="J1" s="54"/>
      <c r="K1" s="54"/>
      <c r="L1" s="54"/>
      <c r="M1" s="54"/>
      <c r="N1" s="54"/>
    </row>
    <row r="2" ht="22.5" customHeight="1">
      <c r="A2" s="45">
        <v>618.0</v>
      </c>
      <c r="B2" s="45">
        <v>2.89</v>
      </c>
      <c r="C2" s="45">
        <v>0.01054</v>
      </c>
      <c r="D2" s="45">
        <v>0.011524</v>
      </c>
      <c r="E2" s="45">
        <v>0.011032</v>
      </c>
      <c r="F2" s="54"/>
      <c r="G2" s="54"/>
      <c r="H2" s="54"/>
      <c r="I2" s="54"/>
      <c r="J2" s="54"/>
      <c r="K2" s="54"/>
      <c r="L2" s="54"/>
      <c r="M2" s="54"/>
      <c r="N2" s="54"/>
    </row>
    <row r="3" ht="22.5" customHeight="1">
      <c r="A3" s="45">
        <v>665.0</v>
      </c>
      <c r="B3" s="45">
        <v>3.02</v>
      </c>
      <c r="C3" s="45">
        <v>0.010902</v>
      </c>
      <c r="D3" s="45">
        <v>0.011927</v>
      </c>
      <c r="E3" s="45">
        <v>0.011414</v>
      </c>
      <c r="F3" s="54"/>
      <c r="G3" s="54"/>
      <c r="H3" s="54"/>
      <c r="I3" s="54"/>
      <c r="J3" s="54"/>
      <c r="K3" s="54"/>
      <c r="L3" s="54"/>
      <c r="M3" s="54"/>
      <c r="N3" s="54"/>
    </row>
    <row r="4" ht="22.5" customHeight="1">
      <c r="A4" s="45">
        <v>1317.0</v>
      </c>
      <c r="B4" s="45">
        <v>3.17</v>
      </c>
      <c r="C4" s="45">
        <v>0.034817</v>
      </c>
      <c r="D4" s="45">
        <v>0.034076</v>
      </c>
      <c r="E4" s="45">
        <v>0.034446</v>
      </c>
      <c r="F4" s="54"/>
      <c r="G4" s="54"/>
      <c r="H4" s="54"/>
      <c r="I4" s="54"/>
      <c r="J4" s="54"/>
      <c r="K4" s="54"/>
      <c r="L4" s="54"/>
      <c r="M4" s="54"/>
      <c r="N4" s="54"/>
    </row>
    <row r="5" ht="22.5" customHeight="1">
      <c r="A5" s="45">
        <v>1406.0</v>
      </c>
      <c r="B5" s="45">
        <v>3.32</v>
      </c>
      <c r="C5" s="45">
        <v>0.036403</v>
      </c>
      <c r="D5" s="45">
        <v>0.034116</v>
      </c>
      <c r="E5" s="45">
        <v>0.03526</v>
      </c>
      <c r="F5" s="54"/>
      <c r="G5" s="54"/>
      <c r="H5" s="54"/>
      <c r="I5" s="54"/>
      <c r="J5" s="54"/>
      <c r="K5" s="54"/>
      <c r="L5" s="54"/>
      <c r="M5" s="54"/>
      <c r="N5" s="54"/>
    </row>
    <row r="6" ht="22.5" customHeight="1">
      <c r="A6" s="45">
        <v>1505.0</v>
      </c>
      <c r="B6" s="45">
        <v>3.49</v>
      </c>
      <c r="C6" s="45">
        <v>0.043275</v>
      </c>
      <c r="D6" s="45">
        <v>0.035288</v>
      </c>
      <c r="E6" s="45">
        <v>0.039281</v>
      </c>
      <c r="F6" s="54"/>
      <c r="G6" s="54"/>
      <c r="H6" s="54"/>
      <c r="I6" s="54"/>
      <c r="J6" s="54"/>
      <c r="K6" s="54"/>
      <c r="L6" s="54"/>
      <c r="M6" s="54"/>
      <c r="N6" s="54"/>
    </row>
    <row r="7" ht="22.5" customHeight="1">
      <c r="A7" s="45">
        <v>1641.0</v>
      </c>
      <c r="B7" s="45">
        <v>3.67</v>
      </c>
      <c r="C7" s="45">
        <v>0.050564</v>
      </c>
      <c r="D7" s="45">
        <v>0.03826</v>
      </c>
      <c r="E7" s="45">
        <v>0.044412</v>
      </c>
      <c r="F7" s="54"/>
      <c r="G7" s="54"/>
      <c r="H7" s="54"/>
      <c r="I7" s="54"/>
      <c r="J7" s="54"/>
      <c r="K7" s="54"/>
      <c r="L7" s="54"/>
      <c r="M7" s="54"/>
      <c r="N7" s="54"/>
    </row>
    <row r="8" ht="22.5" customHeight="1">
      <c r="A8" s="45">
        <v>1726.0</v>
      </c>
      <c r="B8" s="45">
        <v>3.93</v>
      </c>
      <c r="C8" s="45">
        <v>0.053715</v>
      </c>
      <c r="D8" s="45">
        <v>0.03827</v>
      </c>
      <c r="E8" s="45">
        <v>0.045993</v>
      </c>
      <c r="F8" s="54"/>
      <c r="G8" s="54"/>
      <c r="H8" s="54"/>
      <c r="I8" s="54"/>
      <c r="J8" s="54"/>
      <c r="K8" s="54"/>
      <c r="L8" s="54"/>
      <c r="M8" s="54"/>
      <c r="N8" s="54"/>
    </row>
    <row r="9" ht="22.5" customHeight="1">
      <c r="A9" s="45">
        <v>1819.0</v>
      </c>
      <c r="B9" s="45">
        <v>4.14</v>
      </c>
      <c r="C9" s="45">
        <v>0.058458</v>
      </c>
      <c r="D9" s="45">
        <v>0.045584</v>
      </c>
      <c r="E9" s="45">
        <v>0.052021</v>
      </c>
      <c r="F9" s="54"/>
      <c r="G9" s="54"/>
      <c r="H9" s="54"/>
      <c r="I9" s="54"/>
      <c r="J9" s="54"/>
      <c r="K9" s="54"/>
      <c r="L9" s="54"/>
      <c r="M9" s="54"/>
      <c r="N9" s="54"/>
    </row>
    <row r="10" ht="22.5" customHeight="1">
      <c r="A10" s="45">
        <v>1946.0</v>
      </c>
      <c r="B10" s="45">
        <v>4.34</v>
      </c>
      <c r="C10" s="45">
        <v>0.061843</v>
      </c>
      <c r="D10" s="45">
        <v>0.048589</v>
      </c>
      <c r="E10" s="45">
        <v>0.055216</v>
      </c>
      <c r="F10" s="54"/>
      <c r="G10" s="54"/>
      <c r="H10" s="54"/>
      <c r="I10" s="54"/>
      <c r="J10" s="54"/>
      <c r="K10" s="54"/>
      <c r="L10" s="54"/>
      <c r="M10" s="54"/>
      <c r="N10" s="54"/>
    </row>
    <row r="11" ht="22.5" customHeight="1">
      <c r="A11" s="45">
        <v>2094.0</v>
      </c>
      <c r="B11" s="45">
        <v>4.54</v>
      </c>
      <c r="C11" s="45">
        <v>0.064372</v>
      </c>
      <c r="D11" s="45">
        <v>0.077213</v>
      </c>
      <c r="E11" s="45">
        <v>0.070792</v>
      </c>
      <c r="F11" s="54"/>
      <c r="G11" s="54"/>
      <c r="H11" s="54"/>
      <c r="I11" s="54"/>
      <c r="J11" s="54"/>
      <c r="K11" s="54"/>
      <c r="L11" s="54"/>
      <c r="M11" s="54"/>
      <c r="N11" s="54"/>
    </row>
    <row r="12" ht="22.5" customHeight="1">
      <c r="A12" s="45">
        <v>2141.0</v>
      </c>
      <c r="B12" s="45">
        <v>4.89</v>
      </c>
      <c r="C12" s="45">
        <v>0.065133</v>
      </c>
      <c r="D12" s="45">
        <v>0.077771</v>
      </c>
      <c r="E12" s="45">
        <v>0.071452</v>
      </c>
      <c r="F12" s="54"/>
      <c r="G12" s="54"/>
      <c r="H12" s="54"/>
      <c r="I12" s="54"/>
      <c r="J12" s="54"/>
      <c r="K12" s="54"/>
      <c r="L12" s="54"/>
      <c r="M12" s="54"/>
      <c r="N12" s="54"/>
    </row>
    <row r="13" ht="22.5" customHeight="1">
      <c r="A13" s="45">
        <v>2238.0</v>
      </c>
      <c r="B13" s="45">
        <v>5.13</v>
      </c>
      <c r="C13" s="45">
        <v>0.06648</v>
      </c>
      <c r="D13" s="45">
        <v>0.08028</v>
      </c>
      <c r="E13" s="45">
        <v>0.07338</v>
      </c>
      <c r="F13" s="54"/>
      <c r="G13" s="54"/>
      <c r="H13" s="54"/>
      <c r="I13" s="54"/>
      <c r="J13" s="54"/>
      <c r="K13" s="54"/>
      <c r="L13" s="54"/>
      <c r="M13" s="54"/>
      <c r="N13" s="54"/>
    </row>
    <row r="14" ht="22.5" customHeight="1">
      <c r="A14" s="45">
        <v>2326.0</v>
      </c>
      <c r="B14" s="45">
        <v>5.34</v>
      </c>
      <c r="C14" s="45">
        <v>0.069461</v>
      </c>
      <c r="D14" s="45">
        <v>0.083825</v>
      </c>
      <c r="E14" s="45">
        <v>0.076643</v>
      </c>
      <c r="F14" s="54"/>
      <c r="G14" s="54"/>
      <c r="H14" s="54"/>
      <c r="I14" s="54"/>
      <c r="J14" s="54"/>
      <c r="K14" s="54"/>
      <c r="L14" s="54"/>
      <c r="M14" s="54"/>
      <c r="N14" s="54"/>
    </row>
    <row r="15" ht="22.5" customHeight="1">
      <c r="A15" s="45">
        <v>2396.0</v>
      </c>
      <c r="B15" s="45">
        <v>5.56</v>
      </c>
      <c r="C15" s="45">
        <v>0.070354</v>
      </c>
      <c r="D15" s="45">
        <v>0.090524</v>
      </c>
      <c r="E15" s="45">
        <v>0.080439</v>
      </c>
      <c r="F15" s="54"/>
      <c r="G15" s="54"/>
      <c r="H15" s="54"/>
      <c r="I15" s="54"/>
      <c r="J15" s="54"/>
      <c r="K15" s="54"/>
      <c r="L15" s="54"/>
      <c r="M15" s="54"/>
      <c r="N15" s="54"/>
    </row>
    <row r="16" ht="22.5" customHeight="1">
      <c r="A16" s="45">
        <v>2456.0</v>
      </c>
      <c r="B16" s="45">
        <v>5.84</v>
      </c>
      <c r="C16" s="45">
        <v>0.076712</v>
      </c>
      <c r="D16" s="45">
        <v>0.091364</v>
      </c>
      <c r="E16" s="45">
        <v>0.084038</v>
      </c>
      <c r="F16" s="54"/>
      <c r="G16" s="54"/>
      <c r="H16" s="54"/>
      <c r="I16" s="54"/>
      <c r="J16" s="54"/>
      <c r="K16" s="54"/>
      <c r="L16" s="54"/>
      <c r="M16" s="54"/>
      <c r="N16" s="54"/>
    </row>
    <row r="17" ht="22.5" customHeight="1">
      <c r="A17" s="45">
        <v>2598.0</v>
      </c>
      <c r="B17" s="45">
        <v>6.15</v>
      </c>
      <c r="C17" s="45">
        <v>0.083593</v>
      </c>
      <c r="D17" s="45">
        <v>0.094184</v>
      </c>
      <c r="E17" s="45">
        <v>0.088888</v>
      </c>
      <c r="F17" s="54"/>
      <c r="G17" s="54"/>
      <c r="H17" s="54"/>
      <c r="I17" s="54"/>
      <c r="J17" s="54"/>
      <c r="K17" s="54"/>
      <c r="L17" s="54"/>
      <c r="M17" s="54"/>
      <c r="N17" s="54"/>
    </row>
    <row r="18" ht="22.5" customHeight="1">
      <c r="A18" s="45">
        <v>2686.0</v>
      </c>
      <c r="B18" s="45">
        <v>6.42</v>
      </c>
      <c r="C18" s="45">
        <v>0.085099</v>
      </c>
      <c r="D18" s="45">
        <v>0.096399</v>
      </c>
      <c r="E18" s="45">
        <v>0.090749</v>
      </c>
      <c r="F18" s="54"/>
      <c r="G18" s="54"/>
      <c r="H18" s="54"/>
      <c r="I18" s="54"/>
      <c r="J18" s="54"/>
      <c r="K18" s="54"/>
      <c r="L18" s="54"/>
      <c r="M18" s="54"/>
      <c r="N18" s="54"/>
    </row>
    <row r="19" ht="22.5" customHeight="1">
      <c r="A19" s="45">
        <v>2785.0</v>
      </c>
      <c r="B19" s="45">
        <v>6.64</v>
      </c>
      <c r="C19" s="45">
        <v>0.085713</v>
      </c>
      <c r="D19" s="45">
        <v>0.098092</v>
      </c>
      <c r="E19" s="45">
        <v>0.091903</v>
      </c>
      <c r="F19" s="54"/>
      <c r="G19" s="54"/>
      <c r="H19" s="54"/>
      <c r="I19" s="54"/>
      <c r="J19" s="54"/>
      <c r="K19" s="54"/>
      <c r="L19" s="54"/>
      <c r="M19" s="54"/>
      <c r="N19" s="54"/>
    </row>
    <row r="20" ht="22.5" customHeight="1">
      <c r="A20" s="45">
        <v>2830.0</v>
      </c>
      <c r="B20" s="45">
        <v>6.88</v>
      </c>
      <c r="C20" s="45">
        <v>0.086331</v>
      </c>
      <c r="D20" s="45">
        <v>0.09885</v>
      </c>
      <c r="E20" s="45">
        <v>0.09259</v>
      </c>
      <c r="F20" s="54"/>
      <c r="G20" s="54"/>
      <c r="H20" s="54"/>
      <c r="I20" s="54"/>
      <c r="J20" s="54"/>
      <c r="K20" s="54"/>
      <c r="L20" s="54"/>
      <c r="M20" s="54"/>
      <c r="N20" s="54"/>
    </row>
    <row r="21" ht="22.5" customHeight="1">
      <c r="A21" s="45">
        <v>2911.0</v>
      </c>
      <c r="B21" s="45">
        <v>7.21</v>
      </c>
      <c r="C21" s="45">
        <v>0.087319</v>
      </c>
      <c r="D21" s="45">
        <v>0.099927</v>
      </c>
      <c r="E21" s="45">
        <v>0.093623</v>
      </c>
      <c r="F21" s="54"/>
      <c r="G21" s="54"/>
      <c r="H21" s="54"/>
      <c r="I21" s="54"/>
      <c r="J21" s="54"/>
      <c r="K21" s="54"/>
      <c r="L21" s="54"/>
      <c r="M21" s="54"/>
      <c r="N21" s="54"/>
    </row>
    <row r="22" ht="22.5" customHeight="1">
      <c r="A22" s="45">
        <v>2954.0</v>
      </c>
      <c r="B22" s="45">
        <v>7.45</v>
      </c>
      <c r="C22" s="45">
        <v>0.087458</v>
      </c>
      <c r="D22" s="45">
        <v>0.100076</v>
      </c>
      <c r="E22" s="45">
        <v>0.093767</v>
      </c>
      <c r="F22" s="54"/>
      <c r="G22" s="54"/>
      <c r="H22" s="54"/>
      <c r="I22" s="54"/>
      <c r="J22" s="54"/>
      <c r="K22" s="54"/>
      <c r="L22" s="54"/>
      <c r="M22" s="54"/>
      <c r="N22" s="54"/>
    </row>
    <row r="23" ht="22.5" customHeight="1">
      <c r="A23" s="45">
        <v>3050.0</v>
      </c>
      <c r="B23" s="45">
        <v>7.69</v>
      </c>
      <c r="C23" s="45">
        <v>0.088863</v>
      </c>
      <c r="D23" s="45">
        <v>0.100396</v>
      </c>
      <c r="E23" s="45">
        <v>0.09463</v>
      </c>
      <c r="F23" s="54"/>
      <c r="G23" s="54"/>
      <c r="H23" s="54"/>
      <c r="I23" s="54"/>
      <c r="J23" s="54"/>
      <c r="K23" s="54"/>
      <c r="L23" s="54"/>
      <c r="M23" s="54"/>
      <c r="N23" s="54"/>
    </row>
    <row r="24" ht="22.5" customHeight="1">
      <c r="A24" s="45">
        <v>3158.0</v>
      </c>
      <c r="B24" s="45">
        <v>7.96</v>
      </c>
      <c r="C24" s="45">
        <v>0.090187</v>
      </c>
      <c r="D24" s="45">
        <v>0.099534</v>
      </c>
      <c r="E24" s="45">
        <v>0.094861</v>
      </c>
      <c r="F24" s="54"/>
      <c r="G24" s="54"/>
      <c r="H24" s="54"/>
      <c r="I24" s="54"/>
      <c r="J24" s="54"/>
      <c r="K24" s="54"/>
      <c r="L24" s="54"/>
      <c r="M24" s="54"/>
      <c r="N24" s="54"/>
    </row>
    <row r="25" ht="22.5" customHeight="1">
      <c r="A25" s="45">
        <v>3239.0</v>
      </c>
      <c r="B25" s="45">
        <v>8.25</v>
      </c>
      <c r="C25" s="45">
        <v>0.091865</v>
      </c>
      <c r="D25" s="45">
        <v>0.10097</v>
      </c>
      <c r="E25" s="45">
        <v>0.096417</v>
      </c>
      <c r="F25" s="54"/>
      <c r="G25" s="54"/>
      <c r="H25" s="54"/>
      <c r="I25" s="54"/>
      <c r="J25" s="54"/>
      <c r="K25" s="54"/>
      <c r="L25" s="54"/>
      <c r="M25" s="54"/>
      <c r="N25" s="54"/>
    </row>
    <row r="26" ht="22.5" customHeight="1">
      <c r="A26" s="45">
        <v>3315.0</v>
      </c>
      <c r="B26" s="45">
        <v>8.56</v>
      </c>
      <c r="C26" s="45">
        <v>0.09236</v>
      </c>
      <c r="D26" s="45">
        <v>0.101596</v>
      </c>
      <c r="E26" s="45">
        <v>0.096978</v>
      </c>
      <c r="F26" s="54"/>
      <c r="G26" s="54"/>
      <c r="H26" s="54"/>
      <c r="I26" s="54"/>
      <c r="J26" s="54"/>
      <c r="K26" s="54"/>
      <c r="L26" s="54"/>
      <c r="M26" s="54"/>
      <c r="N26" s="54"/>
    </row>
    <row r="27" ht="22.5" customHeight="1">
      <c r="A27" s="45">
        <v>3382.0</v>
      </c>
      <c r="B27" s="45">
        <v>8.85</v>
      </c>
      <c r="C27" s="45">
        <v>0.092459</v>
      </c>
      <c r="D27" s="45">
        <v>0.10185</v>
      </c>
      <c r="E27" s="45">
        <v>0.097154</v>
      </c>
      <c r="F27" s="54"/>
      <c r="G27" s="54"/>
      <c r="H27" s="54"/>
      <c r="I27" s="54"/>
      <c r="J27" s="54"/>
      <c r="K27" s="54"/>
      <c r="L27" s="54"/>
      <c r="M27" s="54"/>
      <c r="N27" s="54"/>
    </row>
    <row r="28" ht="22.5" customHeight="1">
      <c r="A28" s="45">
        <v>3482.0</v>
      </c>
      <c r="B28" s="45">
        <v>9.16</v>
      </c>
      <c r="C28" s="45">
        <v>0.093685</v>
      </c>
      <c r="D28" s="45">
        <v>0.102208</v>
      </c>
      <c r="E28" s="45">
        <v>0.097947</v>
      </c>
      <c r="F28" s="54"/>
      <c r="G28" s="54"/>
      <c r="H28" s="54"/>
      <c r="I28" s="54"/>
      <c r="J28" s="54"/>
      <c r="K28" s="54"/>
      <c r="L28" s="54"/>
      <c r="M28" s="54"/>
      <c r="N28" s="54"/>
    </row>
    <row r="29" ht="22.5" customHeight="1">
      <c r="A29" s="45">
        <v>3548.0</v>
      </c>
      <c r="B29" s="45">
        <v>9.47</v>
      </c>
      <c r="C29" s="45">
        <v>0.094592</v>
      </c>
      <c r="D29" s="45">
        <v>0.104138</v>
      </c>
      <c r="E29" s="45">
        <v>0.099365</v>
      </c>
      <c r="F29" s="54"/>
      <c r="G29" s="54"/>
      <c r="H29" s="54"/>
      <c r="I29" s="54"/>
      <c r="J29" s="54"/>
      <c r="K29" s="54"/>
      <c r="L29" s="54"/>
      <c r="M29" s="54"/>
      <c r="N29" s="54"/>
    </row>
    <row r="30" ht="22.5" customHeight="1">
      <c r="A30" s="45">
        <v>3612.0</v>
      </c>
      <c r="B30" s="45">
        <v>9.79</v>
      </c>
      <c r="C30" s="45">
        <v>0.094934</v>
      </c>
      <c r="D30" s="45">
        <v>0.104988</v>
      </c>
      <c r="E30" s="45">
        <v>0.099961</v>
      </c>
      <c r="F30" s="54"/>
      <c r="G30" s="54"/>
      <c r="H30" s="54"/>
      <c r="I30" s="54"/>
      <c r="J30" s="54"/>
      <c r="K30" s="54"/>
      <c r="L30" s="54"/>
      <c r="M30" s="54"/>
      <c r="N30" s="54"/>
    </row>
    <row r="31" ht="22.5" customHeight="1">
      <c r="A31" s="45">
        <v>3721.0</v>
      </c>
      <c r="B31" s="45">
        <v>10.1</v>
      </c>
      <c r="C31" s="45">
        <v>0.09988</v>
      </c>
      <c r="D31" s="45">
        <v>0.109026</v>
      </c>
      <c r="E31" s="45">
        <v>0.104453</v>
      </c>
      <c r="F31" s="54"/>
      <c r="G31" s="54"/>
      <c r="H31" s="54"/>
      <c r="I31" s="54"/>
      <c r="J31" s="54"/>
      <c r="K31" s="54"/>
      <c r="L31" s="54"/>
      <c r="M31" s="54"/>
      <c r="N31" s="54"/>
    </row>
    <row r="32" ht="22.5" customHeight="1">
      <c r="A32" s="45">
        <v>3817.0</v>
      </c>
      <c r="B32" s="45">
        <v>10.43</v>
      </c>
      <c r="C32" s="45">
        <v>0.103475</v>
      </c>
      <c r="D32" s="45">
        <v>0.107926</v>
      </c>
      <c r="E32" s="45">
        <v>0.1057</v>
      </c>
      <c r="F32" s="54"/>
      <c r="G32" s="54"/>
      <c r="H32" s="54"/>
      <c r="I32" s="54"/>
      <c r="J32" s="54"/>
      <c r="K32" s="54"/>
      <c r="L32" s="54"/>
      <c r="M32" s="54"/>
      <c r="N32" s="54"/>
    </row>
    <row r="33" ht="22.5" customHeight="1">
      <c r="A33" s="45">
        <v>3884.0</v>
      </c>
      <c r="B33" s="45">
        <v>10.75</v>
      </c>
      <c r="C33" s="45">
        <v>0.103736</v>
      </c>
      <c r="D33" s="45">
        <v>0.108332</v>
      </c>
      <c r="E33" s="45">
        <v>0.106034</v>
      </c>
      <c r="F33" s="54"/>
      <c r="G33" s="54"/>
      <c r="H33" s="54"/>
      <c r="I33" s="54"/>
      <c r="J33" s="54"/>
      <c r="K33" s="54"/>
      <c r="L33" s="54"/>
      <c r="M33" s="54"/>
      <c r="N33" s="54"/>
    </row>
    <row r="34" ht="22.5" customHeight="1">
      <c r="A34" s="45">
        <v>3967.0</v>
      </c>
      <c r="B34" s="45">
        <v>11.08</v>
      </c>
      <c r="C34" s="45">
        <v>0.104238</v>
      </c>
      <c r="D34" s="45">
        <v>0.10846</v>
      </c>
      <c r="E34" s="45">
        <v>0.106349</v>
      </c>
      <c r="F34" s="54"/>
      <c r="G34" s="54"/>
      <c r="H34" s="54"/>
      <c r="I34" s="54"/>
      <c r="J34" s="54"/>
      <c r="K34" s="54"/>
      <c r="L34" s="54"/>
      <c r="M34" s="54"/>
      <c r="N34" s="54"/>
    </row>
    <row r="35" ht="22.5" customHeight="1">
      <c r="A35" s="45">
        <v>4077.0</v>
      </c>
      <c r="B35" s="45">
        <v>11.4</v>
      </c>
      <c r="C35" s="45">
        <v>0.105383</v>
      </c>
      <c r="D35" s="45">
        <v>0.107172</v>
      </c>
      <c r="E35" s="45">
        <v>0.106277</v>
      </c>
      <c r="F35" s="54"/>
      <c r="G35" s="54"/>
      <c r="H35" s="54"/>
      <c r="I35" s="54"/>
      <c r="J35" s="54"/>
      <c r="K35" s="54"/>
      <c r="L35" s="54"/>
      <c r="M35" s="54"/>
      <c r="N35" s="54"/>
    </row>
    <row r="36" ht="22.5" customHeight="1">
      <c r="A36" s="45">
        <v>4154.0</v>
      </c>
      <c r="B36" s="45">
        <v>11.76</v>
      </c>
      <c r="C36" s="45">
        <v>0.106514</v>
      </c>
      <c r="D36" s="45">
        <v>0.107385</v>
      </c>
      <c r="E36" s="45">
        <v>0.106949</v>
      </c>
      <c r="F36" s="54"/>
      <c r="G36" s="54"/>
      <c r="H36" s="54"/>
      <c r="I36" s="54"/>
      <c r="J36" s="54"/>
      <c r="K36" s="54"/>
      <c r="L36" s="54"/>
      <c r="M36" s="54"/>
      <c r="N36" s="54"/>
    </row>
    <row r="37" ht="22.5" customHeight="1">
      <c r="A37" s="45">
        <v>4225.0</v>
      </c>
      <c r="B37" s="45">
        <v>12.13</v>
      </c>
      <c r="C37" s="45">
        <v>0.109453</v>
      </c>
      <c r="D37" s="45">
        <v>0.106778</v>
      </c>
      <c r="E37" s="45">
        <v>0.108116</v>
      </c>
      <c r="F37" s="54"/>
      <c r="G37" s="54"/>
      <c r="H37" s="54"/>
      <c r="I37" s="54"/>
      <c r="J37" s="54"/>
      <c r="K37" s="54"/>
      <c r="L37" s="54"/>
      <c r="M37" s="54"/>
      <c r="N37" s="54"/>
    </row>
    <row r="38" ht="22.5" customHeight="1">
      <c r="A38" s="45">
        <v>4277.0</v>
      </c>
      <c r="B38" s="45">
        <v>12.48</v>
      </c>
      <c r="C38" s="45">
        <v>0.110691</v>
      </c>
      <c r="D38" s="45">
        <v>0.106633</v>
      </c>
      <c r="E38" s="45">
        <v>0.108662</v>
      </c>
      <c r="F38" s="54"/>
      <c r="G38" s="54"/>
      <c r="H38" s="54"/>
      <c r="I38" s="54"/>
      <c r="J38" s="54"/>
      <c r="K38" s="54"/>
      <c r="L38" s="54"/>
      <c r="M38" s="54"/>
      <c r="N38" s="54"/>
    </row>
    <row r="39" ht="22.5" customHeight="1">
      <c r="A39" s="45">
        <v>4327.0</v>
      </c>
      <c r="B39" s="45">
        <v>12.82</v>
      </c>
      <c r="C39" s="45">
        <v>0.111014</v>
      </c>
      <c r="D39" s="45">
        <v>0.106751</v>
      </c>
      <c r="E39" s="45">
        <v>0.108883</v>
      </c>
      <c r="F39" s="54"/>
      <c r="G39" s="54"/>
      <c r="H39" s="54"/>
      <c r="I39" s="54"/>
      <c r="J39" s="54"/>
      <c r="K39" s="54"/>
      <c r="L39" s="54"/>
      <c r="M39" s="54"/>
      <c r="N39" s="54"/>
    </row>
    <row r="40" ht="22.5" customHeight="1">
      <c r="A40" s="45">
        <v>4410.0</v>
      </c>
      <c r="B40" s="45">
        <v>13.16</v>
      </c>
      <c r="C40" s="45">
        <v>0.112675</v>
      </c>
      <c r="D40" s="45">
        <v>0.106967</v>
      </c>
      <c r="E40" s="45">
        <v>0.109821</v>
      </c>
      <c r="F40" s="54"/>
      <c r="G40" s="54"/>
      <c r="H40" s="54"/>
      <c r="I40" s="54"/>
      <c r="J40" s="54"/>
      <c r="K40" s="54"/>
      <c r="L40" s="54"/>
      <c r="M40" s="54"/>
      <c r="N40" s="54"/>
    </row>
    <row r="41" ht="22.5" customHeight="1">
      <c r="A41" s="45">
        <v>4496.0</v>
      </c>
      <c r="B41" s="45">
        <v>13.53</v>
      </c>
      <c r="C41" s="45">
        <v>0.113485</v>
      </c>
      <c r="D41" s="45">
        <v>0.107804</v>
      </c>
      <c r="E41" s="45">
        <v>0.110644</v>
      </c>
      <c r="F41" s="54"/>
      <c r="G41" s="54"/>
      <c r="H41" s="54"/>
      <c r="I41" s="54"/>
      <c r="J41" s="54"/>
      <c r="K41" s="54"/>
      <c r="L41" s="54"/>
      <c r="M41" s="54"/>
      <c r="N41" s="54"/>
    </row>
    <row r="42" ht="22.5" customHeight="1">
      <c r="A42" s="45">
        <v>4546.0</v>
      </c>
      <c r="B42" s="45">
        <v>13.89</v>
      </c>
      <c r="C42" s="45">
        <v>0.113744</v>
      </c>
      <c r="D42" s="45">
        <v>0.107841</v>
      </c>
      <c r="E42" s="45">
        <v>0.110792</v>
      </c>
      <c r="F42" s="54"/>
      <c r="G42" s="54"/>
      <c r="H42" s="54"/>
      <c r="I42" s="54"/>
      <c r="J42" s="54"/>
      <c r="K42" s="54"/>
      <c r="L42" s="54"/>
      <c r="M42" s="54"/>
      <c r="N42" s="54"/>
    </row>
    <row r="43" ht="22.5" customHeight="1">
      <c r="A43" s="45">
        <v>4620.0</v>
      </c>
      <c r="B43" s="45">
        <v>14.26</v>
      </c>
      <c r="C43" s="45">
        <v>0.115005</v>
      </c>
      <c r="D43" s="45">
        <v>0.107905</v>
      </c>
      <c r="E43" s="45">
        <v>0.111455</v>
      </c>
      <c r="F43" s="54"/>
      <c r="G43" s="54"/>
      <c r="H43" s="54"/>
      <c r="I43" s="54"/>
      <c r="J43" s="54"/>
      <c r="K43" s="54"/>
      <c r="L43" s="54"/>
      <c r="M43" s="54"/>
      <c r="N43" s="54"/>
    </row>
    <row r="44" ht="22.5" customHeight="1">
      <c r="A44" s="45">
        <v>4672.0</v>
      </c>
      <c r="B44" s="45">
        <v>14.65</v>
      </c>
      <c r="C44" s="45">
        <v>0.115824</v>
      </c>
      <c r="D44" s="45">
        <v>0.107787</v>
      </c>
      <c r="E44" s="45">
        <v>0.111806</v>
      </c>
      <c r="F44" s="54"/>
      <c r="G44" s="54"/>
      <c r="H44" s="54"/>
      <c r="I44" s="54"/>
      <c r="J44" s="54"/>
      <c r="K44" s="54"/>
      <c r="L44" s="54"/>
      <c r="M44" s="54"/>
      <c r="N44" s="54"/>
    </row>
    <row r="45" ht="22.5" customHeight="1">
      <c r="A45" s="45">
        <v>4741.0</v>
      </c>
      <c r="B45" s="45">
        <v>15.02</v>
      </c>
      <c r="C45" s="45">
        <v>0.116608</v>
      </c>
      <c r="D45" s="45">
        <v>0.114737</v>
      </c>
      <c r="E45" s="45">
        <v>0.115673</v>
      </c>
      <c r="F45" s="54"/>
      <c r="G45" s="54"/>
      <c r="H45" s="54"/>
      <c r="I45" s="54"/>
      <c r="J45" s="54"/>
      <c r="K45" s="54"/>
      <c r="L45" s="54"/>
      <c r="M45" s="54"/>
      <c r="N45" s="54"/>
    </row>
    <row r="46" ht="22.5" customHeight="1">
      <c r="A46" s="45">
        <v>4812.0</v>
      </c>
      <c r="B46" s="45">
        <v>15.41</v>
      </c>
      <c r="C46" s="45">
        <v>0.117013</v>
      </c>
      <c r="D46" s="45">
        <v>0.115093</v>
      </c>
      <c r="E46" s="45">
        <v>0.116053</v>
      </c>
      <c r="F46" s="54"/>
      <c r="G46" s="54"/>
      <c r="H46" s="54"/>
      <c r="I46" s="54"/>
      <c r="J46" s="54"/>
      <c r="K46" s="54"/>
      <c r="L46" s="54"/>
      <c r="M46" s="54"/>
      <c r="N46" s="54"/>
    </row>
    <row r="47" ht="22.5" customHeight="1">
      <c r="A47" s="45">
        <v>4916.0</v>
      </c>
      <c r="B47" s="45">
        <v>15.8</v>
      </c>
      <c r="C47" s="45">
        <v>0.118326</v>
      </c>
      <c r="D47" s="45">
        <v>0.114986</v>
      </c>
      <c r="E47" s="45">
        <v>0.116656</v>
      </c>
      <c r="F47" s="54"/>
      <c r="G47" s="54"/>
      <c r="H47" s="54"/>
      <c r="I47" s="54"/>
      <c r="J47" s="54"/>
      <c r="K47" s="54"/>
      <c r="L47" s="54"/>
      <c r="M47" s="54"/>
      <c r="N47" s="54"/>
    </row>
    <row r="48" ht="22.5" customHeight="1">
      <c r="A48" s="45">
        <v>5005.0</v>
      </c>
      <c r="B48" s="45">
        <v>16.2</v>
      </c>
      <c r="C48" s="45">
        <v>0.118494</v>
      </c>
      <c r="D48" s="45">
        <v>0.115433</v>
      </c>
      <c r="E48" s="45">
        <v>0.116963</v>
      </c>
      <c r="F48" s="54"/>
      <c r="G48" s="54"/>
      <c r="H48" s="54"/>
      <c r="I48" s="54"/>
      <c r="J48" s="54"/>
      <c r="K48" s="54"/>
      <c r="L48" s="54"/>
      <c r="M48" s="54"/>
      <c r="N48" s="54"/>
    </row>
    <row r="49" ht="22.5" customHeight="1">
      <c r="A49" s="45">
        <v>5086.0</v>
      </c>
      <c r="B49" s="45">
        <v>16.61</v>
      </c>
      <c r="C49" s="45">
        <v>0.118807</v>
      </c>
      <c r="D49" s="45">
        <v>0.115632</v>
      </c>
      <c r="E49" s="45">
        <v>0.117219</v>
      </c>
      <c r="F49" s="54"/>
      <c r="G49" s="54"/>
      <c r="H49" s="54"/>
      <c r="I49" s="54"/>
      <c r="J49" s="54"/>
      <c r="K49" s="54"/>
      <c r="L49" s="54"/>
      <c r="M49" s="54"/>
      <c r="N49" s="54"/>
    </row>
    <row r="50" ht="22.5" customHeight="1">
      <c r="A50" s="45">
        <v>5170.0</v>
      </c>
      <c r="B50" s="45">
        <v>17.06</v>
      </c>
      <c r="C50" s="45">
        <v>0.119117</v>
      </c>
      <c r="D50" s="45">
        <v>0.115508</v>
      </c>
      <c r="E50" s="45">
        <v>0.117313</v>
      </c>
      <c r="F50" s="54"/>
      <c r="G50" s="54"/>
      <c r="H50" s="54"/>
      <c r="I50" s="54"/>
      <c r="J50" s="54"/>
      <c r="K50" s="54"/>
      <c r="L50" s="54"/>
      <c r="M50" s="54"/>
      <c r="N50" s="54"/>
    </row>
    <row r="51" ht="22.5" customHeight="1">
      <c r="A51" s="45">
        <v>5239.0</v>
      </c>
      <c r="B51" s="45">
        <v>17.48</v>
      </c>
      <c r="C51" s="45">
        <v>0.119203</v>
      </c>
      <c r="D51" s="45">
        <v>0.116024</v>
      </c>
      <c r="E51" s="45">
        <v>0.117613</v>
      </c>
      <c r="F51" s="54"/>
      <c r="G51" s="54"/>
      <c r="H51" s="54"/>
      <c r="I51" s="54"/>
      <c r="J51" s="54"/>
      <c r="K51" s="54"/>
      <c r="L51" s="54"/>
      <c r="M51" s="54"/>
      <c r="N51" s="54"/>
    </row>
    <row r="52" ht="22.5" customHeight="1">
      <c r="A52" s="45">
        <v>5309.0</v>
      </c>
      <c r="B52" s="45">
        <v>17.91</v>
      </c>
      <c r="C52" s="45">
        <v>0.119383</v>
      </c>
      <c r="D52" s="45">
        <v>0.116099</v>
      </c>
      <c r="E52" s="45">
        <v>0.117741</v>
      </c>
      <c r="F52" s="54"/>
      <c r="G52" s="54"/>
      <c r="H52" s="54"/>
      <c r="I52" s="54"/>
      <c r="J52" s="54"/>
      <c r="K52" s="54"/>
      <c r="L52" s="54"/>
      <c r="M52" s="54"/>
      <c r="N52" s="54"/>
    </row>
    <row r="53" ht="22.5" customHeight="1">
      <c r="A53" s="45">
        <v>5363.0</v>
      </c>
      <c r="B53" s="45">
        <v>18.35</v>
      </c>
      <c r="C53" s="45">
        <v>0.119566</v>
      </c>
      <c r="D53" s="45">
        <v>0.116463</v>
      </c>
      <c r="E53" s="45">
        <v>0.118014</v>
      </c>
      <c r="F53" s="54"/>
      <c r="G53" s="54"/>
      <c r="H53" s="54"/>
      <c r="I53" s="54"/>
      <c r="J53" s="54"/>
      <c r="K53" s="54"/>
      <c r="L53" s="54"/>
      <c r="M53" s="54"/>
      <c r="N53" s="54"/>
    </row>
    <row r="54" ht="22.5" customHeight="1">
      <c r="A54" s="45">
        <v>5424.0</v>
      </c>
      <c r="B54" s="45">
        <v>18.78</v>
      </c>
      <c r="C54" s="45">
        <v>0.120543</v>
      </c>
      <c r="D54" s="45">
        <v>0.116078</v>
      </c>
      <c r="E54" s="45">
        <v>0.11831</v>
      </c>
      <c r="F54" s="54"/>
      <c r="G54" s="54"/>
      <c r="H54" s="54"/>
      <c r="I54" s="54"/>
      <c r="J54" s="54"/>
      <c r="K54" s="54"/>
      <c r="L54" s="54"/>
      <c r="M54" s="54"/>
      <c r="N54" s="54"/>
    </row>
    <row r="55" ht="22.5" customHeight="1">
      <c r="A55" s="45">
        <v>5506.0</v>
      </c>
      <c r="B55" s="45">
        <v>19.23</v>
      </c>
      <c r="C55" s="45">
        <v>0.120809</v>
      </c>
      <c r="D55" s="45">
        <v>0.11658</v>
      </c>
      <c r="E55" s="45">
        <v>0.118694</v>
      </c>
      <c r="F55" s="54"/>
      <c r="G55" s="54"/>
      <c r="H55" s="54"/>
      <c r="I55" s="54"/>
      <c r="J55" s="54"/>
      <c r="K55" s="54"/>
      <c r="L55" s="54"/>
      <c r="M55" s="54"/>
      <c r="N55" s="54"/>
    </row>
    <row r="56" ht="22.5" customHeight="1">
      <c r="A56" s="45">
        <v>5550.0</v>
      </c>
      <c r="B56" s="45">
        <v>19.67</v>
      </c>
      <c r="C56" s="45">
        <v>0.121025</v>
      </c>
      <c r="D56" s="45">
        <v>0.116628</v>
      </c>
      <c r="E56" s="45">
        <v>0.118827</v>
      </c>
      <c r="F56" s="54"/>
      <c r="G56" s="54"/>
      <c r="H56" s="54"/>
      <c r="I56" s="54"/>
      <c r="J56" s="54"/>
      <c r="K56" s="54"/>
      <c r="L56" s="54"/>
      <c r="M56" s="54"/>
      <c r="N56" s="54"/>
    </row>
    <row r="57" ht="22.5" customHeight="1">
      <c r="A57" s="45">
        <v>5600.0</v>
      </c>
      <c r="B57" s="45">
        <v>20.13</v>
      </c>
      <c r="C57" s="45">
        <v>0.121245</v>
      </c>
      <c r="D57" s="45">
        <v>0.116723</v>
      </c>
      <c r="E57" s="45">
        <v>0.118984</v>
      </c>
      <c r="F57" s="54"/>
      <c r="G57" s="54"/>
      <c r="H57" s="54"/>
      <c r="I57" s="54"/>
      <c r="J57" s="54"/>
      <c r="K57" s="54"/>
      <c r="L57" s="54"/>
      <c r="M57" s="54"/>
      <c r="N57" s="54"/>
    </row>
    <row r="58" ht="22.5" customHeight="1">
      <c r="A58" s="45">
        <v>5670.0</v>
      </c>
      <c r="B58" s="45">
        <v>20.59</v>
      </c>
      <c r="C58" s="45">
        <v>0.122065</v>
      </c>
      <c r="D58" s="45">
        <v>0.11688</v>
      </c>
      <c r="E58" s="45">
        <v>0.119473</v>
      </c>
      <c r="F58" s="54"/>
      <c r="G58" s="54"/>
      <c r="H58" s="54"/>
      <c r="I58" s="54"/>
      <c r="J58" s="54"/>
      <c r="K58" s="54"/>
      <c r="L58" s="54"/>
      <c r="M58" s="54"/>
      <c r="N58" s="54"/>
    </row>
    <row r="59" ht="22.5" customHeight="1">
      <c r="A59" s="45">
        <v>5736.0</v>
      </c>
      <c r="B59" s="45">
        <v>21.06</v>
      </c>
      <c r="C59" s="45">
        <v>0.122281</v>
      </c>
      <c r="D59" s="45">
        <v>0.117198</v>
      </c>
      <c r="E59" s="45">
        <v>0.11974</v>
      </c>
      <c r="F59" s="54"/>
      <c r="G59" s="54"/>
      <c r="H59" s="54"/>
      <c r="I59" s="54"/>
      <c r="J59" s="54"/>
      <c r="K59" s="54"/>
      <c r="L59" s="54"/>
      <c r="M59" s="54"/>
      <c r="N59" s="54"/>
    </row>
    <row r="60" ht="22.5" customHeight="1">
      <c r="A60" s="45">
        <v>5820.0</v>
      </c>
      <c r="B60" s="45">
        <v>21.53</v>
      </c>
      <c r="C60" s="45">
        <v>0.122205</v>
      </c>
      <c r="D60" s="45">
        <v>0.117246</v>
      </c>
      <c r="E60" s="45">
        <v>0.119725</v>
      </c>
      <c r="F60" s="54"/>
      <c r="G60" s="54"/>
      <c r="H60" s="54"/>
      <c r="I60" s="54"/>
      <c r="J60" s="54"/>
      <c r="K60" s="54"/>
      <c r="L60" s="54"/>
      <c r="M60" s="54"/>
      <c r="N60" s="54"/>
    </row>
    <row r="61" ht="22.5" customHeight="1">
      <c r="A61" s="45">
        <v>5894.0</v>
      </c>
      <c r="B61" s="45">
        <v>22.02</v>
      </c>
      <c r="C61" s="45">
        <v>0.122747</v>
      </c>
      <c r="D61" s="45">
        <v>0.124748</v>
      </c>
      <c r="E61" s="45">
        <v>0.123748</v>
      </c>
      <c r="F61" s="54"/>
      <c r="G61" s="54"/>
      <c r="H61" s="54"/>
      <c r="I61" s="54"/>
      <c r="J61" s="54"/>
      <c r="K61" s="54"/>
      <c r="L61" s="54"/>
      <c r="M61" s="54"/>
      <c r="N61" s="54"/>
    </row>
    <row r="62" ht="22.5" customHeight="1">
      <c r="A62" s="45">
        <v>5936.0</v>
      </c>
      <c r="B62" s="45">
        <v>22.52</v>
      </c>
      <c r="C62" s="45">
        <v>0.122716</v>
      </c>
      <c r="D62" s="45">
        <v>0.124891</v>
      </c>
      <c r="E62" s="45">
        <v>0.123803</v>
      </c>
      <c r="F62" s="54"/>
      <c r="G62" s="54"/>
      <c r="H62" s="54"/>
      <c r="I62" s="54"/>
      <c r="J62" s="54"/>
      <c r="K62" s="54"/>
      <c r="L62" s="54"/>
      <c r="M62" s="54"/>
      <c r="N62" s="54"/>
    </row>
    <row r="63" ht="22.5" customHeight="1">
      <c r="A63" s="45">
        <v>5980.0</v>
      </c>
      <c r="B63" s="45">
        <v>23.01</v>
      </c>
      <c r="C63" s="45">
        <v>0.123357</v>
      </c>
      <c r="D63" s="45">
        <v>0.125466</v>
      </c>
      <c r="E63" s="45">
        <v>0.124412</v>
      </c>
      <c r="F63" s="54"/>
      <c r="G63" s="54"/>
      <c r="H63" s="54"/>
      <c r="I63" s="54"/>
      <c r="J63" s="54"/>
      <c r="K63" s="54"/>
      <c r="L63" s="54"/>
      <c r="M63" s="54"/>
      <c r="N63" s="54"/>
    </row>
    <row r="64" ht="22.5" customHeight="1">
      <c r="A64" s="45">
        <v>6032.0</v>
      </c>
      <c r="B64" s="45">
        <v>23.49</v>
      </c>
      <c r="C64" s="45">
        <v>0.123401</v>
      </c>
      <c r="D64" s="45">
        <v>0.12541</v>
      </c>
      <c r="E64" s="45">
        <v>0.124405</v>
      </c>
      <c r="F64" s="54"/>
      <c r="G64" s="54"/>
      <c r="H64" s="54"/>
      <c r="I64" s="54"/>
      <c r="J64" s="54"/>
      <c r="K64" s="54"/>
      <c r="L64" s="54"/>
      <c r="M64" s="54"/>
      <c r="N64" s="54"/>
    </row>
    <row r="65" ht="22.5" customHeight="1">
      <c r="A65" s="45">
        <v>6143.0</v>
      </c>
      <c r="B65" s="45">
        <v>23.99</v>
      </c>
      <c r="C65" s="45">
        <v>0.12347</v>
      </c>
      <c r="D65" s="45">
        <v>0.125432</v>
      </c>
      <c r="E65" s="45">
        <v>0.124451</v>
      </c>
      <c r="F65" s="54"/>
      <c r="G65" s="54"/>
      <c r="H65" s="54"/>
      <c r="I65" s="54"/>
      <c r="J65" s="54"/>
      <c r="K65" s="54"/>
      <c r="L65" s="54"/>
      <c r="M65" s="54"/>
      <c r="N65" s="54"/>
    </row>
    <row r="66" ht="22.5" customHeight="1">
      <c r="A66" s="45">
        <v>6187.0</v>
      </c>
      <c r="B66" s="45">
        <v>24.5</v>
      </c>
      <c r="C66" s="45">
        <v>0.123476</v>
      </c>
      <c r="D66" s="45">
        <v>0.125399</v>
      </c>
      <c r="E66" s="45">
        <v>0.124438</v>
      </c>
      <c r="F66" s="54"/>
      <c r="G66" s="54"/>
      <c r="H66" s="54"/>
      <c r="I66" s="54"/>
      <c r="J66" s="54"/>
      <c r="K66" s="54"/>
      <c r="L66" s="54"/>
      <c r="M66" s="54"/>
      <c r="N66" s="54"/>
    </row>
    <row r="67" ht="22.5" customHeight="1">
      <c r="A67" s="45">
        <v>6273.0</v>
      </c>
      <c r="B67" s="45">
        <v>25.02</v>
      </c>
      <c r="C67" s="45">
        <v>0.12371</v>
      </c>
      <c r="D67" s="45">
        <v>0.125714</v>
      </c>
      <c r="E67" s="45">
        <v>0.124712</v>
      </c>
      <c r="F67" s="54"/>
      <c r="G67" s="54"/>
      <c r="H67" s="54"/>
      <c r="I67" s="54"/>
      <c r="J67" s="54"/>
      <c r="K67" s="54"/>
      <c r="L67" s="54"/>
      <c r="M67" s="54"/>
      <c r="N67" s="54"/>
    </row>
    <row r="68" ht="22.5" customHeight="1">
      <c r="A68" s="45">
        <v>6324.0</v>
      </c>
      <c r="B68" s="45">
        <v>25.52</v>
      </c>
      <c r="C68" s="45">
        <v>0.123897</v>
      </c>
      <c r="D68" s="45">
        <v>0.125856</v>
      </c>
      <c r="E68" s="45">
        <v>0.124876</v>
      </c>
      <c r="F68" s="54"/>
      <c r="G68" s="54"/>
      <c r="H68" s="54"/>
      <c r="I68" s="54"/>
      <c r="J68" s="54"/>
      <c r="K68" s="54"/>
      <c r="L68" s="54"/>
      <c r="M68" s="54"/>
      <c r="N68" s="54"/>
    </row>
    <row r="69" ht="22.5" customHeight="1">
      <c r="A69" s="45">
        <v>6373.0</v>
      </c>
      <c r="B69" s="45">
        <v>26.05</v>
      </c>
      <c r="C69" s="45">
        <v>0.123952</v>
      </c>
      <c r="D69" s="45">
        <v>0.125915</v>
      </c>
      <c r="E69" s="45">
        <v>0.124933</v>
      </c>
      <c r="F69" s="54"/>
      <c r="G69" s="54"/>
      <c r="H69" s="54"/>
      <c r="I69" s="54"/>
      <c r="J69" s="54"/>
      <c r="K69" s="54"/>
      <c r="L69" s="54"/>
      <c r="M69" s="54"/>
      <c r="N69" s="54"/>
    </row>
    <row r="70" ht="22.5" customHeight="1">
      <c r="A70" s="45">
        <v>6441.0</v>
      </c>
      <c r="B70" s="45">
        <v>26.58</v>
      </c>
      <c r="C70" s="45">
        <v>0.123885</v>
      </c>
      <c r="D70" s="45">
        <v>0.126061</v>
      </c>
      <c r="E70" s="45">
        <v>0.124973</v>
      </c>
      <c r="F70" s="54"/>
      <c r="G70" s="54"/>
      <c r="H70" s="54"/>
      <c r="I70" s="54"/>
      <c r="J70" s="54"/>
      <c r="K70" s="54"/>
      <c r="L70" s="54"/>
      <c r="M70" s="54"/>
      <c r="N70" s="54"/>
    </row>
    <row r="71" ht="22.5" customHeight="1">
      <c r="A71" s="45">
        <v>6490.0</v>
      </c>
      <c r="B71" s="45">
        <v>27.11</v>
      </c>
      <c r="C71" s="45">
        <v>0.123992</v>
      </c>
      <c r="D71" s="45">
        <v>0.126254</v>
      </c>
      <c r="E71" s="45">
        <v>0.125123</v>
      </c>
      <c r="F71" s="54"/>
      <c r="G71" s="54"/>
      <c r="H71" s="54"/>
      <c r="I71" s="54"/>
      <c r="J71" s="54"/>
      <c r="K71" s="54"/>
      <c r="L71" s="54"/>
      <c r="M71" s="54"/>
      <c r="N71" s="54"/>
    </row>
    <row r="72" ht="22.5" customHeight="1">
      <c r="A72" s="45">
        <v>6580.0</v>
      </c>
      <c r="B72" s="45">
        <v>27.67</v>
      </c>
      <c r="C72" s="45">
        <v>0.124605</v>
      </c>
      <c r="D72" s="45">
        <v>0.126193</v>
      </c>
      <c r="E72" s="45">
        <v>0.125399</v>
      </c>
      <c r="F72" s="54"/>
      <c r="G72" s="54"/>
      <c r="H72" s="54"/>
      <c r="I72" s="54"/>
      <c r="J72" s="54"/>
      <c r="K72" s="54"/>
      <c r="L72" s="54"/>
      <c r="M72" s="54"/>
      <c r="N72" s="54"/>
    </row>
    <row r="73" ht="22.5" customHeight="1">
      <c r="A73" s="45">
        <v>6661.0</v>
      </c>
      <c r="B73" s="45">
        <v>28.21</v>
      </c>
      <c r="C73" s="45">
        <v>0.124777</v>
      </c>
      <c r="D73" s="45">
        <v>0.126462</v>
      </c>
      <c r="E73" s="45">
        <v>0.12562</v>
      </c>
      <c r="F73" s="54"/>
      <c r="G73" s="54"/>
      <c r="H73" s="54"/>
      <c r="I73" s="54"/>
      <c r="J73" s="54"/>
      <c r="K73" s="54"/>
      <c r="L73" s="54"/>
      <c r="M73" s="54"/>
      <c r="N73" s="54"/>
    </row>
    <row r="74" ht="22.5" customHeight="1">
      <c r="A74" s="45">
        <v>6725.0</v>
      </c>
      <c r="B74" s="45">
        <v>28.77</v>
      </c>
      <c r="C74" s="45">
        <v>0.124871</v>
      </c>
      <c r="D74" s="45">
        <v>0.126403</v>
      </c>
      <c r="E74" s="45">
        <v>0.125637</v>
      </c>
      <c r="F74" s="54"/>
      <c r="G74" s="54"/>
      <c r="H74" s="54"/>
      <c r="I74" s="54"/>
      <c r="J74" s="54"/>
      <c r="K74" s="54"/>
      <c r="L74" s="54"/>
      <c r="M74" s="54"/>
      <c r="N74" s="54"/>
    </row>
    <row r="75" ht="22.5" customHeight="1">
      <c r="A75" s="45">
        <v>6814.0</v>
      </c>
      <c r="B75" s="45">
        <v>29.35</v>
      </c>
      <c r="C75" s="45">
        <v>0.125091</v>
      </c>
      <c r="D75" s="45">
        <v>0.12675</v>
      </c>
      <c r="E75" s="45">
        <v>0.125921</v>
      </c>
      <c r="F75" s="54"/>
      <c r="G75" s="54"/>
      <c r="H75" s="54"/>
      <c r="I75" s="54"/>
      <c r="J75" s="54"/>
      <c r="K75" s="54"/>
      <c r="L75" s="54"/>
      <c r="M75" s="54"/>
      <c r="N75" s="54"/>
    </row>
    <row r="76" ht="22.5" customHeight="1">
      <c r="A76" s="45">
        <v>6867.0</v>
      </c>
      <c r="B76" s="45">
        <v>29.92</v>
      </c>
      <c r="C76" s="45">
        <v>0.125531</v>
      </c>
      <c r="D76" s="45">
        <v>0.1268</v>
      </c>
      <c r="E76" s="45">
        <v>0.126166</v>
      </c>
      <c r="F76" s="54"/>
      <c r="G76" s="54"/>
      <c r="H76" s="54"/>
      <c r="I76" s="54"/>
      <c r="J76" s="54"/>
      <c r="K76" s="54"/>
      <c r="L76" s="54"/>
      <c r="M76" s="54"/>
      <c r="N76" s="54"/>
    </row>
    <row r="77" ht="22.5" customHeight="1">
      <c r="A77" s="45">
        <v>6913.0</v>
      </c>
      <c r="B77" s="45">
        <v>30.51</v>
      </c>
      <c r="C77" s="45">
        <v>0.125626</v>
      </c>
      <c r="D77" s="45">
        <v>0.126884</v>
      </c>
      <c r="E77" s="45">
        <v>0.126255</v>
      </c>
      <c r="F77" s="54"/>
      <c r="G77" s="54"/>
      <c r="H77" s="54"/>
      <c r="I77" s="54"/>
      <c r="J77" s="54"/>
      <c r="K77" s="54"/>
      <c r="L77" s="54"/>
      <c r="M77" s="54"/>
      <c r="N77" s="54"/>
    </row>
    <row r="78" ht="22.5" customHeight="1">
      <c r="A78" s="45">
        <v>6979.0</v>
      </c>
      <c r="B78" s="45">
        <v>31.13</v>
      </c>
      <c r="C78" s="45">
        <v>0.126357</v>
      </c>
      <c r="D78" s="45">
        <v>0.126698</v>
      </c>
      <c r="E78" s="45">
        <v>0.126527</v>
      </c>
      <c r="F78" s="54"/>
      <c r="G78" s="54"/>
      <c r="H78" s="54"/>
      <c r="I78" s="54"/>
      <c r="J78" s="54"/>
      <c r="K78" s="54"/>
      <c r="L78" s="54"/>
      <c r="M78" s="54"/>
      <c r="N78" s="54"/>
    </row>
    <row r="79" ht="22.5" customHeight="1">
      <c r="A79" s="45">
        <v>7046.0</v>
      </c>
      <c r="B79" s="45">
        <v>31.73</v>
      </c>
      <c r="C79" s="45">
        <v>0.126355</v>
      </c>
      <c r="D79" s="45">
        <v>0.126619</v>
      </c>
      <c r="E79" s="45">
        <v>0.126487</v>
      </c>
      <c r="F79" s="54"/>
      <c r="G79" s="54"/>
      <c r="H79" s="54"/>
      <c r="I79" s="54"/>
      <c r="J79" s="54"/>
      <c r="K79" s="54"/>
      <c r="L79" s="54"/>
      <c r="M79" s="54"/>
      <c r="N79" s="54"/>
    </row>
    <row r="80" ht="22.5" customHeight="1">
      <c r="A80" s="45">
        <v>7153.0</v>
      </c>
      <c r="B80" s="45">
        <v>32.36</v>
      </c>
      <c r="C80" s="45">
        <v>0.126725</v>
      </c>
      <c r="D80" s="45">
        <v>0.125543</v>
      </c>
      <c r="E80" s="45">
        <v>0.126134</v>
      </c>
      <c r="F80" s="54"/>
      <c r="G80" s="54"/>
      <c r="H80" s="54"/>
      <c r="I80" s="54"/>
      <c r="J80" s="54"/>
      <c r="K80" s="54"/>
      <c r="L80" s="54"/>
      <c r="M80" s="54"/>
      <c r="N80" s="54"/>
    </row>
    <row r="81" ht="22.5" customHeight="1">
      <c r="A81" s="45">
        <v>7204.0</v>
      </c>
      <c r="B81" s="45">
        <v>32.99</v>
      </c>
      <c r="C81" s="45">
        <v>0.126972</v>
      </c>
      <c r="D81" s="45">
        <v>0.125625</v>
      </c>
      <c r="E81" s="45">
        <v>0.126299</v>
      </c>
      <c r="F81" s="54"/>
      <c r="G81" s="54"/>
      <c r="H81" s="54"/>
      <c r="I81" s="54"/>
      <c r="J81" s="54"/>
      <c r="K81" s="54"/>
      <c r="L81" s="54"/>
      <c r="M81" s="54"/>
      <c r="N81" s="54"/>
    </row>
    <row r="82" ht="22.5" customHeight="1">
      <c r="A82" s="45">
        <v>7269.0</v>
      </c>
      <c r="B82" s="45">
        <v>33.68</v>
      </c>
      <c r="C82" s="45">
        <v>0.127446</v>
      </c>
      <c r="D82" s="45">
        <v>0.125694</v>
      </c>
      <c r="E82" s="45">
        <v>0.12657</v>
      </c>
      <c r="F82" s="54"/>
      <c r="G82" s="54"/>
      <c r="H82" s="54"/>
      <c r="I82" s="54"/>
      <c r="J82" s="54"/>
      <c r="K82" s="54"/>
      <c r="L82" s="54"/>
      <c r="M82" s="54"/>
      <c r="N82" s="54"/>
    </row>
    <row r="83" ht="22.5" customHeight="1">
      <c r="A83" s="45">
        <v>7354.0</v>
      </c>
      <c r="B83" s="45">
        <v>34.33</v>
      </c>
      <c r="C83" s="45">
        <v>0.127811</v>
      </c>
      <c r="D83" s="45">
        <v>0.125939</v>
      </c>
      <c r="E83" s="45">
        <v>0.126875</v>
      </c>
      <c r="F83" s="54"/>
      <c r="G83" s="54"/>
      <c r="H83" s="54"/>
      <c r="I83" s="54"/>
      <c r="J83" s="54"/>
      <c r="K83" s="54"/>
      <c r="L83" s="54"/>
      <c r="M83" s="54"/>
      <c r="N83" s="54"/>
    </row>
    <row r="84" ht="22.5" customHeight="1">
      <c r="A84" s="45">
        <v>7398.0</v>
      </c>
      <c r="B84" s="45">
        <v>34.97</v>
      </c>
      <c r="C84" s="45">
        <v>0.127785</v>
      </c>
      <c r="D84" s="45">
        <v>0.125965</v>
      </c>
      <c r="E84" s="45">
        <v>0.126875</v>
      </c>
      <c r="F84" s="54"/>
      <c r="G84" s="54"/>
      <c r="H84" s="54"/>
      <c r="I84" s="54"/>
      <c r="J84" s="54"/>
      <c r="K84" s="54"/>
      <c r="L84" s="54"/>
      <c r="M84" s="54"/>
      <c r="N84" s="54"/>
    </row>
    <row r="85" ht="22.5" customHeight="1">
      <c r="A85" s="45">
        <v>7465.0</v>
      </c>
      <c r="B85" s="45">
        <v>35.63</v>
      </c>
      <c r="C85" s="45">
        <v>0.128377</v>
      </c>
      <c r="D85" s="45">
        <v>0.12574</v>
      </c>
      <c r="E85" s="45">
        <v>0.127059</v>
      </c>
      <c r="F85" s="54"/>
      <c r="G85" s="54"/>
      <c r="H85" s="54"/>
      <c r="I85" s="54"/>
      <c r="J85" s="54"/>
      <c r="K85" s="54"/>
      <c r="L85" s="54"/>
      <c r="M85" s="54"/>
      <c r="N85" s="54"/>
    </row>
    <row r="86" ht="22.5" customHeight="1">
      <c r="A86" s="45">
        <v>7519.0</v>
      </c>
      <c r="B86" s="45">
        <v>36.28</v>
      </c>
      <c r="C86" s="45">
        <v>0.128775</v>
      </c>
      <c r="D86" s="45">
        <v>0.126004</v>
      </c>
      <c r="E86" s="45">
        <v>0.12739</v>
      </c>
      <c r="F86" s="54"/>
      <c r="G86" s="54"/>
      <c r="H86" s="54"/>
      <c r="I86" s="54"/>
      <c r="J86" s="54"/>
      <c r="K86" s="54"/>
      <c r="L86" s="54"/>
      <c r="M86" s="54"/>
      <c r="N86" s="54"/>
    </row>
    <row r="87" ht="22.5" customHeight="1">
      <c r="A87" s="45">
        <v>7563.0</v>
      </c>
      <c r="B87" s="45">
        <v>36.93</v>
      </c>
      <c r="C87" s="45">
        <v>0.128727</v>
      </c>
      <c r="D87" s="45">
        <v>0.126252</v>
      </c>
      <c r="E87" s="45">
        <v>0.12749</v>
      </c>
      <c r="F87" s="54"/>
      <c r="G87" s="54"/>
      <c r="H87" s="54"/>
      <c r="I87" s="54"/>
      <c r="J87" s="54"/>
      <c r="K87" s="54"/>
      <c r="L87" s="54"/>
      <c r="M87" s="54"/>
      <c r="N87" s="54"/>
    </row>
    <row r="88" ht="22.5" customHeight="1">
      <c r="A88" s="45">
        <v>7607.0</v>
      </c>
      <c r="B88" s="45">
        <v>37.6</v>
      </c>
      <c r="C88" s="45">
        <v>0.128747</v>
      </c>
      <c r="D88" s="45">
        <v>0.126264</v>
      </c>
      <c r="E88" s="45">
        <v>0.127506</v>
      </c>
      <c r="F88" s="54"/>
      <c r="G88" s="54"/>
      <c r="H88" s="54"/>
      <c r="I88" s="54"/>
      <c r="J88" s="54"/>
      <c r="K88" s="54"/>
      <c r="L88" s="54"/>
      <c r="M88" s="54"/>
      <c r="N88" s="54"/>
    </row>
    <row r="89" ht="22.5" customHeight="1">
      <c r="A89" s="45">
        <v>7678.0</v>
      </c>
      <c r="B89" s="45">
        <v>38.29</v>
      </c>
      <c r="C89" s="45">
        <v>0.128765</v>
      </c>
      <c r="D89" s="45">
        <v>0.126264</v>
      </c>
      <c r="E89" s="45">
        <v>0.127515</v>
      </c>
      <c r="F89" s="54"/>
      <c r="G89" s="54"/>
      <c r="H89" s="54"/>
      <c r="I89" s="54"/>
      <c r="J89" s="54"/>
      <c r="K89" s="54"/>
      <c r="L89" s="54"/>
      <c r="M89" s="54"/>
      <c r="N89" s="54"/>
    </row>
    <row r="92">
      <c r="B92" s="33" t="s">
        <v>44</v>
      </c>
      <c r="C92" s="33">
        <v>0.124638</v>
      </c>
    </row>
    <row r="93">
      <c r="A93" s="34"/>
      <c r="B93" s="34"/>
      <c r="C93" s="34"/>
      <c r="D93" s="13"/>
      <c r="E93" s="34"/>
    </row>
    <row r="94" ht="22.5" customHeight="1">
      <c r="A94" s="4" t="s">
        <v>45</v>
      </c>
      <c r="B94" s="4" t="s">
        <v>46</v>
      </c>
      <c r="C94" s="4" t="s">
        <v>47</v>
      </c>
      <c r="D94" s="29" t="s">
        <v>48</v>
      </c>
      <c r="E94" s="29" t="s">
        <v>49</v>
      </c>
      <c r="F94" s="4" t="s">
        <v>39</v>
      </c>
      <c r="G94" s="4" t="s">
        <v>50</v>
      </c>
    </row>
    <row r="95" ht="22.5" customHeight="1">
      <c r="A95" s="37">
        <v>1.0</v>
      </c>
      <c r="B95" s="37">
        <v>9090.0</v>
      </c>
      <c r="C95" s="6">
        <v>0.129673</v>
      </c>
      <c r="D95" s="36">
        <f t="shared" ref="D95:D100" si="1">abs(C95-C$92)^2</f>
        <v>0.000025351225</v>
      </c>
      <c r="E95" s="36">
        <f>(C95-Tabela_23[[#TOTALS],[Estimated Volume (m³)]]/6)^2</f>
        <v>0.00000081450625</v>
      </c>
      <c r="F95" s="37">
        <v>40.08</v>
      </c>
      <c r="G95" s="55">
        <f t="shared" ref="G95:G100" si="2">ABS(C95-C$92)/C$92</f>
        <v>0.04039698968</v>
      </c>
    </row>
    <row r="96" ht="22.5" customHeight="1">
      <c r="A96" s="37">
        <v>2.0</v>
      </c>
      <c r="B96" s="37">
        <v>9341.0</v>
      </c>
      <c r="C96" s="6">
        <v>0.133892</v>
      </c>
      <c r="D96" s="36">
        <f t="shared" si="1"/>
        <v>0.000085636516</v>
      </c>
      <c r="E96" s="36">
        <f>(C96-Tabela_23[[#TOTALS],[Estimated Volume (m³)]]/6)^2</f>
        <v>0.00001099917225</v>
      </c>
      <c r="F96" s="37">
        <v>45.58</v>
      </c>
      <c r="G96" s="55">
        <f t="shared" si="2"/>
        <v>0.07424701937</v>
      </c>
    </row>
    <row r="97" ht="22.5" customHeight="1">
      <c r="A97" s="37">
        <v>3.0</v>
      </c>
      <c r="B97" s="37">
        <v>8978.0</v>
      </c>
      <c r="C97" s="6">
        <v>0.132704</v>
      </c>
      <c r="D97" s="36">
        <f t="shared" si="1"/>
        <v>0.000065060356</v>
      </c>
      <c r="E97" s="36">
        <f>(C97-Tabela_23[[#TOTALS],[Estimated Volume (m³)]]/6)^2</f>
        <v>0.00000453051225</v>
      </c>
      <c r="F97" s="37">
        <v>38.34</v>
      </c>
      <c r="G97" s="55">
        <f t="shared" si="2"/>
        <v>0.06471541584</v>
      </c>
    </row>
    <row r="98" ht="22.5" customHeight="1">
      <c r="A98" s="37">
        <v>4.0</v>
      </c>
      <c r="B98" s="37">
        <v>8194.0</v>
      </c>
      <c r="C98" s="6">
        <v>0.133281</v>
      </c>
      <c r="D98" s="36">
        <f t="shared" si="1"/>
        <v>0.000074701449</v>
      </c>
      <c r="E98" s="36">
        <f>(C98-Tabela_23[[#TOTALS],[Estimated Volume (m³)]]/6)^2</f>
        <v>0.00000731973025</v>
      </c>
      <c r="F98" s="37">
        <v>32.2</v>
      </c>
      <c r="G98" s="55">
        <f t="shared" si="2"/>
        <v>0.06934482261</v>
      </c>
    </row>
    <row r="99" ht="22.5" customHeight="1">
      <c r="A99" s="37">
        <v>5.0</v>
      </c>
      <c r="B99" s="45">
        <v>7678.0</v>
      </c>
      <c r="C99" s="50">
        <v>0.127515</v>
      </c>
      <c r="D99" s="36">
        <f t="shared" si="1"/>
        <v>0.000008277129</v>
      </c>
      <c r="E99" s="36">
        <f>(C99-Tabela_23[[#TOTALS],[Estimated Volume (m³)]]/6)^2</f>
        <v>0.00000936666025</v>
      </c>
      <c r="F99" s="45">
        <v>38.29</v>
      </c>
      <c r="G99" s="55">
        <f t="shared" si="2"/>
        <v>0.02308284793</v>
      </c>
    </row>
    <row r="100" ht="22.5" customHeight="1">
      <c r="A100" s="37">
        <v>6.0</v>
      </c>
      <c r="B100" s="37">
        <v>7131.0</v>
      </c>
      <c r="C100" s="6">
        <v>0.126388</v>
      </c>
      <c r="D100" s="36">
        <f t="shared" si="1"/>
        <v>0.0000030625</v>
      </c>
      <c r="E100" s="36">
        <f>(C100-Tabela_23[[#TOTALS],[Estimated Volume (m³)]]/6)^2</f>
        <v>0.00001753515625</v>
      </c>
      <c r="F100" s="37">
        <v>26.15</v>
      </c>
      <c r="G100" s="55">
        <f t="shared" si="2"/>
        <v>0.01404066176</v>
      </c>
    </row>
    <row r="101" ht="22.5" customHeight="1">
      <c r="A101" s="41" t="s">
        <v>53</v>
      </c>
      <c r="B101" s="56">
        <f>SUM(B95:B100)</f>
        <v>50412</v>
      </c>
      <c r="C101" s="57">
        <f>SUM(Tabela_23[Estimated Volume (m³)])</f>
        <v>0.783453</v>
      </c>
      <c r="D101" s="57">
        <f>SUM(Tabela_23[MSE (m)])</f>
        <v>0.000262089175</v>
      </c>
      <c r="E101" s="57">
        <f>SUM(Tabela_23[Standard Deviation (m)])</f>
        <v>0.0000505657375</v>
      </c>
      <c r="F101" s="57">
        <f>SUM(Tabela_23[Execution Time (s)])</f>
        <v>220.64</v>
      </c>
      <c r="G101" s="57">
        <f>SUM(Tabela_23[Absolute Error (%)])</f>
        <v>0.2858277572</v>
      </c>
    </row>
    <row r="102">
      <c r="G102" s="58"/>
    </row>
  </sheetData>
  <dataValidations>
    <dataValidation type="custom" allowBlank="1" showDropDown="1" sqref="A95:C100 G95:G100">
      <formula1>AND(ISNUMBER(A95),(NOT(OR(NOT(ISERROR(DATEVALUE(A95))), AND(ISNUMBER(A95), LEFT(CELL("format", A95))="D")))))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9.75"/>
    <col customWidth="1" min="4" max="4" width="22.38"/>
    <col customWidth="1" min="5" max="5" width="20.25"/>
    <col customWidth="1" min="6" max="6" width="16.88"/>
    <col customWidth="1" min="7" max="7" width="16.25"/>
    <col customWidth="1" min="8" max="8" width="18.5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30">
        <v>1116.0</v>
      </c>
      <c r="B2" s="30">
        <v>2.22</v>
      </c>
      <c r="C2" s="30">
        <v>0.027285</v>
      </c>
      <c r="D2" s="30">
        <v>0.029843</v>
      </c>
      <c r="E2" s="30">
        <v>0.028564</v>
      </c>
    </row>
    <row r="3" ht="22.5" customHeight="1">
      <c r="A3" s="30">
        <v>1229.0</v>
      </c>
      <c r="B3" s="30">
        <v>2.38</v>
      </c>
      <c r="C3" s="30">
        <v>0.032498</v>
      </c>
      <c r="D3" s="30">
        <v>0.035097</v>
      </c>
      <c r="E3" s="30">
        <v>0.033798</v>
      </c>
    </row>
    <row r="4" ht="22.5" customHeight="1">
      <c r="A4" s="30">
        <v>1303.0</v>
      </c>
      <c r="B4" s="30">
        <v>2.56</v>
      </c>
      <c r="C4" s="30">
        <v>0.040585</v>
      </c>
      <c r="D4" s="30">
        <v>0.03595</v>
      </c>
      <c r="E4" s="30">
        <v>0.038268</v>
      </c>
    </row>
    <row r="5" ht="22.5" customHeight="1">
      <c r="A5" s="30">
        <v>1368.0</v>
      </c>
      <c r="B5" s="30">
        <v>2.74</v>
      </c>
      <c r="C5" s="30">
        <v>0.04129</v>
      </c>
      <c r="D5" s="30">
        <v>0.036693</v>
      </c>
      <c r="E5" s="30">
        <v>0.038992</v>
      </c>
    </row>
    <row r="6" ht="22.5" customHeight="1">
      <c r="A6" s="30">
        <v>1477.0</v>
      </c>
      <c r="B6" s="30">
        <v>2.91</v>
      </c>
      <c r="C6" s="30">
        <v>0.044286</v>
      </c>
      <c r="D6" s="30">
        <v>0.041764</v>
      </c>
      <c r="E6" s="30">
        <v>0.043025</v>
      </c>
    </row>
    <row r="7" ht="22.5" customHeight="1">
      <c r="A7" s="30">
        <v>1608.0</v>
      </c>
      <c r="B7" s="30">
        <v>3.09</v>
      </c>
      <c r="C7" s="30">
        <v>0.058912</v>
      </c>
      <c r="D7" s="30">
        <v>0.042542</v>
      </c>
      <c r="E7" s="30">
        <v>0.050727</v>
      </c>
    </row>
    <row r="8" ht="22.5" customHeight="1">
      <c r="A8" s="30">
        <v>1641.0</v>
      </c>
      <c r="B8" s="30">
        <v>3.28</v>
      </c>
      <c r="C8" s="30">
        <v>0.059554</v>
      </c>
      <c r="D8" s="30">
        <v>0.050601</v>
      </c>
      <c r="E8" s="30">
        <v>0.055077</v>
      </c>
    </row>
    <row r="9" ht="22.5" customHeight="1">
      <c r="A9" s="30">
        <v>1761.0</v>
      </c>
      <c r="B9" s="30">
        <v>3.47</v>
      </c>
      <c r="C9" s="30">
        <v>0.067223</v>
      </c>
      <c r="D9" s="30">
        <v>0.05328</v>
      </c>
      <c r="E9" s="30">
        <v>0.060251</v>
      </c>
    </row>
    <row r="10" ht="22.5" customHeight="1">
      <c r="A10" s="30">
        <v>1884.0</v>
      </c>
      <c r="B10" s="30">
        <v>3.68</v>
      </c>
      <c r="C10" s="30">
        <v>0.067682</v>
      </c>
      <c r="D10" s="30">
        <v>0.063111</v>
      </c>
      <c r="E10" s="30">
        <v>0.065397</v>
      </c>
    </row>
    <row r="11" ht="22.5" customHeight="1">
      <c r="A11" s="30">
        <v>1963.0</v>
      </c>
      <c r="B11" s="30">
        <v>3.9</v>
      </c>
      <c r="C11" s="30">
        <v>0.071183</v>
      </c>
      <c r="D11" s="30">
        <v>0.062455</v>
      </c>
      <c r="E11" s="30">
        <v>0.066819</v>
      </c>
    </row>
    <row r="12" ht="22.5" customHeight="1">
      <c r="A12" s="30">
        <v>2077.0</v>
      </c>
      <c r="B12" s="30">
        <v>4.11</v>
      </c>
      <c r="C12" s="30">
        <v>0.085792</v>
      </c>
      <c r="D12" s="30">
        <v>0.063911</v>
      </c>
      <c r="E12" s="30">
        <v>0.074852</v>
      </c>
    </row>
    <row r="13" ht="22.5" customHeight="1">
      <c r="A13" s="30">
        <v>2212.0</v>
      </c>
      <c r="B13" s="30">
        <v>4.34</v>
      </c>
      <c r="C13" s="30">
        <v>0.091527</v>
      </c>
      <c r="D13" s="30">
        <v>0.072528</v>
      </c>
      <c r="E13" s="30">
        <v>0.082027</v>
      </c>
    </row>
    <row r="14" ht="22.5" customHeight="1">
      <c r="A14" s="30">
        <v>2246.0</v>
      </c>
      <c r="B14" s="30">
        <v>4.56</v>
      </c>
      <c r="C14" s="30">
        <v>0.092837</v>
      </c>
      <c r="D14" s="30">
        <v>0.07259</v>
      </c>
      <c r="E14" s="30">
        <v>0.082714</v>
      </c>
    </row>
    <row r="15" ht="22.5" customHeight="1">
      <c r="A15" s="30">
        <v>2317.0</v>
      </c>
      <c r="B15" s="30">
        <v>4.78</v>
      </c>
      <c r="C15" s="30">
        <v>0.093982</v>
      </c>
      <c r="D15" s="30">
        <v>0.073031</v>
      </c>
      <c r="E15" s="30">
        <v>0.083507</v>
      </c>
    </row>
    <row r="16" ht="22.5" customHeight="1">
      <c r="A16" s="30">
        <v>2390.0</v>
      </c>
      <c r="B16" s="30">
        <v>5.01</v>
      </c>
      <c r="C16" s="30">
        <v>0.093945</v>
      </c>
      <c r="D16" s="30">
        <v>0.07485</v>
      </c>
      <c r="E16" s="30">
        <v>0.084397</v>
      </c>
    </row>
    <row r="17" ht="22.5" customHeight="1">
      <c r="A17" s="30">
        <v>2538.0</v>
      </c>
      <c r="B17" s="30">
        <v>5.24</v>
      </c>
      <c r="C17" s="30">
        <v>0.099123</v>
      </c>
      <c r="D17" s="30">
        <v>0.087134</v>
      </c>
      <c r="E17" s="30">
        <v>0.093129</v>
      </c>
    </row>
    <row r="18" ht="22.5" customHeight="1">
      <c r="A18" s="30">
        <v>2646.0</v>
      </c>
      <c r="B18" s="30">
        <v>5.5</v>
      </c>
      <c r="C18" s="30">
        <v>0.103407</v>
      </c>
      <c r="D18" s="30">
        <v>0.092504</v>
      </c>
      <c r="E18" s="30">
        <v>0.097956</v>
      </c>
    </row>
    <row r="19" ht="22.5" customHeight="1">
      <c r="A19" s="30">
        <v>2749.0</v>
      </c>
      <c r="B19" s="30">
        <v>5.76</v>
      </c>
      <c r="C19" s="30">
        <v>0.106836</v>
      </c>
      <c r="D19" s="30">
        <v>0.094286</v>
      </c>
      <c r="E19" s="30">
        <v>0.100561</v>
      </c>
    </row>
    <row r="20" ht="22.5" customHeight="1">
      <c r="A20" s="30">
        <v>2858.0</v>
      </c>
      <c r="B20" s="30">
        <v>6.02</v>
      </c>
      <c r="C20" s="30">
        <v>0.110755</v>
      </c>
      <c r="D20" s="30">
        <v>0.100803</v>
      </c>
      <c r="E20" s="30">
        <v>0.105779</v>
      </c>
    </row>
    <row r="21" ht="22.5" customHeight="1">
      <c r="A21" s="30">
        <v>2927.0</v>
      </c>
      <c r="B21" s="30">
        <v>6.29</v>
      </c>
      <c r="C21" s="30">
        <v>0.11197</v>
      </c>
      <c r="D21" s="30">
        <v>0.101199</v>
      </c>
      <c r="E21" s="30">
        <v>0.106585</v>
      </c>
    </row>
    <row r="22" ht="22.5" customHeight="1">
      <c r="A22" s="30">
        <v>2986.0</v>
      </c>
      <c r="B22" s="30">
        <v>6.56</v>
      </c>
      <c r="C22" s="30">
        <v>0.112279</v>
      </c>
      <c r="D22" s="30">
        <v>0.102636</v>
      </c>
      <c r="E22" s="30">
        <v>0.107457</v>
      </c>
    </row>
    <row r="23" ht="22.5" customHeight="1">
      <c r="A23" s="30">
        <v>3049.0</v>
      </c>
      <c r="B23" s="30">
        <v>6.84</v>
      </c>
      <c r="C23" s="30">
        <v>0.111617</v>
      </c>
      <c r="D23" s="30">
        <v>0.103637</v>
      </c>
      <c r="E23" s="30">
        <v>0.107627</v>
      </c>
    </row>
    <row r="24" ht="22.5" customHeight="1">
      <c r="A24" s="30">
        <v>3123.0</v>
      </c>
      <c r="B24" s="30">
        <v>7.13</v>
      </c>
      <c r="C24" s="30">
        <v>0.113895</v>
      </c>
      <c r="D24" s="30">
        <v>0.103553</v>
      </c>
      <c r="E24" s="30">
        <v>0.108724</v>
      </c>
    </row>
    <row r="25" ht="22.5" customHeight="1">
      <c r="A25" s="30">
        <v>3198.0</v>
      </c>
      <c r="B25" s="30">
        <v>7.42</v>
      </c>
      <c r="C25" s="30">
        <v>0.114948</v>
      </c>
      <c r="D25" s="30">
        <v>0.103361</v>
      </c>
      <c r="E25" s="30">
        <v>0.109155</v>
      </c>
    </row>
    <row r="26" ht="22.5" customHeight="1">
      <c r="A26" s="30">
        <v>3280.0</v>
      </c>
      <c r="B26" s="30">
        <v>7.7</v>
      </c>
      <c r="C26" s="30">
        <v>0.116167</v>
      </c>
      <c r="D26" s="30">
        <v>0.104508</v>
      </c>
      <c r="E26" s="30">
        <v>0.110337</v>
      </c>
    </row>
    <row r="27" ht="22.5" customHeight="1">
      <c r="A27" s="30">
        <v>3362.0</v>
      </c>
      <c r="B27" s="30">
        <v>7.99</v>
      </c>
      <c r="C27" s="30">
        <v>0.116766</v>
      </c>
      <c r="D27" s="30">
        <v>0.104845</v>
      </c>
      <c r="E27" s="30">
        <v>0.110806</v>
      </c>
    </row>
    <row r="28" ht="22.5" customHeight="1">
      <c r="A28" s="30">
        <v>3458.0</v>
      </c>
      <c r="B28" s="30">
        <v>8.28</v>
      </c>
      <c r="C28" s="30">
        <v>0.11919</v>
      </c>
      <c r="D28" s="30">
        <v>0.104697</v>
      </c>
      <c r="E28" s="30">
        <v>0.111944</v>
      </c>
    </row>
    <row r="29" ht="22.5" customHeight="1">
      <c r="A29" s="30">
        <v>3539.0</v>
      </c>
      <c r="B29" s="30">
        <v>8.6</v>
      </c>
      <c r="C29" s="30">
        <v>0.120431</v>
      </c>
      <c r="D29" s="30">
        <v>0.109544</v>
      </c>
      <c r="E29" s="30">
        <v>0.114988</v>
      </c>
    </row>
    <row r="30" ht="22.5" customHeight="1">
      <c r="A30" s="30">
        <v>3605.0</v>
      </c>
      <c r="B30" s="30">
        <v>8.92</v>
      </c>
      <c r="C30" s="30">
        <v>0.12102</v>
      </c>
      <c r="D30" s="30">
        <v>0.110264</v>
      </c>
      <c r="E30" s="30">
        <v>0.115642</v>
      </c>
    </row>
    <row r="31" ht="22.5" customHeight="1">
      <c r="A31" s="30">
        <v>3682.0</v>
      </c>
      <c r="B31" s="30">
        <v>9.24</v>
      </c>
      <c r="C31" s="30">
        <v>0.121049</v>
      </c>
      <c r="D31" s="30">
        <v>0.112325</v>
      </c>
      <c r="E31" s="30">
        <v>0.116687</v>
      </c>
    </row>
    <row r="32" ht="22.5" customHeight="1">
      <c r="A32" s="30">
        <v>3776.0</v>
      </c>
      <c r="B32" s="30">
        <v>9.6</v>
      </c>
      <c r="C32" s="30">
        <v>0.121957</v>
      </c>
      <c r="D32" s="30">
        <v>0.112613</v>
      </c>
      <c r="E32" s="30">
        <v>0.117285</v>
      </c>
    </row>
    <row r="33" ht="22.5" customHeight="1">
      <c r="A33" s="30">
        <v>3852.0</v>
      </c>
      <c r="B33" s="30">
        <v>9.93</v>
      </c>
      <c r="C33" s="30">
        <v>0.123296</v>
      </c>
      <c r="D33" s="30">
        <v>0.112472</v>
      </c>
      <c r="E33" s="30">
        <v>0.117884</v>
      </c>
    </row>
    <row r="34" ht="22.5" customHeight="1">
      <c r="A34" s="30">
        <v>3924.0</v>
      </c>
      <c r="B34" s="30">
        <v>10.27</v>
      </c>
      <c r="C34" s="30">
        <v>0.123688</v>
      </c>
      <c r="D34" s="30">
        <v>0.113039</v>
      </c>
      <c r="E34" s="30">
        <v>0.118363</v>
      </c>
    </row>
    <row r="35" ht="22.5" customHeight="1">
      <c r="A35" s="30">
        <v>3966.0</v>
      </c>
      <c r="B35" s="30">
        <v>10.63</v>
      </c>
      <c r="C35" s="30">
        <v>0.123865</v>
      </c>
      <c r="D35" s="30">
        <v>0.113399</v>
      </c>
      <c r="E35" s="30">
        <v>0.118632</v>
      </c>
    </row>
    <row r="36" ht="22.5" customHeight="1">
      <c r="A36" s="30">
        <v>4036.0</v>
      </c>
      <c r="B36" s="30">
        <v>10.99</v>
      </c>
      <c r="C36" s="30">
        <v>0.124636</v>
      </c>
      <c r="D36" s="30">
        <v>0.11396</v>
      </c>
      <c r="E36" s="30">
        <v>0.119298</v>
      </c>
    </row>
    <row r="37" ht="22.5" customHeight="1">
      <c r="A37" s="30">
        <v>4102.0</v>
      </c>
      <c r="B37" s="30">
        <v>11.35</v>
      </c>
      <c r="C37" s="30">
        <v>0.125414</v>
      </c>
      <c r="D37" s="30">
        <v>0.11382</v>
      </c>
      <c r="E37" s="30">
        <v>0.119617</v>
      </c>
    </row>
    <row r="38" ht="22.5" customHeight="1">
      <c r="A38" s="30">
        <v>4161.0</v>
      </c>
      <c r="B38" s="30">
        <v>11.72</v>
      </c>
      <c r="C38" s="30">
        <v>0.126003</v>
      </c>
      <c r="D38" s="30">
        <v>0.11445</v>
      </c>
      <c r="E38" s="30">
        <v>0.120227</v>
      </c>
    </row>
    <row r="39" ht="22.5" customHeight="1">
      <c r="A39" s="30">
        <v>4232.0</v>
      </c>
      <c r="B39" s="30">
        <v>12.09</v>
      </c>
      <c r="C39" s="30">
        <v>0.125164</v>
      </c>
      <c r="D39" s="30">
        <v>0.116327</v>
      </c>
      <c r="E39" s="30">
        <v>0.120745</v>
      </c>
    </row>
    <row r="40" ht="22.5" customHeight="1">
      <c r="A40" s="30">
        <v>4299.0</v>
      </c>
      <c r="B40" s="30">
        <v>12.51</v>
      </c>
      <c r="C40" s="30">
        <v>0.125738</v>
      </c>
      <c r="D40" s="30">
        <v>0.117087</v>
      </c>
      <c r="E40" s="30">
        <v>0.121413</v>
      </c>
    </row>
    <row r="41" ht="22.5" customHeight="1">
      <c r="A41" s="30">
        <v>4359.0</v>
      </c>
      <c r="B41" s="30">
        <v>12.9</v>
      </c>
      <c r="C41" s="30">
        <v>0.125816</v>
      </c>
      <c r="D41" s="30">
        <v>0.117406</v>
      </c>
      <c r="E41" s="30">
        <v>0.121611</v>
      </c>
    </row>
    <row r="42" ht="22.5" customHeight="1">
      <c r="A42" s="30">
        <v>4421.0</v>
      </c>
      <c r="B42" s="30">
        <v>13.27</v>
      </c>
      <c r="C42" s="30">
        <v>0.125973</v>
      </c>
      <c r="D42" s="30">
        <v>0.117569</v>
      </c>
      <c r="E42" s="30">
        <v>0.121771</v>
      </c>
    </row>
    <row r="43" ht="22.5" customHeight="1">
      <c r="A43" s="30">
        <v>4496.0</v>
      </c>
      <c r="B43" s="30">
        <v>13.67</v>
      </c>
      <c r="C43" s="30">
        <v>0.126134</v>
      </c>
      <c r="D43" s="30">
        <v>0.11784</v>
      </c>
      <c r="E43" s="30">
        <v>0.121987</v>
      </c>
    </row>
    <row r="44" ht="22.5" customHeight="1">
      <c r="A44" s="30">
        <v>4581.0</v>
      </c>
      <c r="B44" s="30">
        <v>14.06</v>
      </c>
      <c r="C44" s="30">
        <v>0.127129</v>
      </c>
      <c r="D44" s="30">
        <v>0.118071</v>
      </c>
      <c r="E44" s="30">
        <v>0.1226</v>
      </c>
    </row>
    <row r="45" ht="22.5" customHeight="1">
      <c r="A45" s="30">
        <v>4658.0</v>
      </c>
      <c r="B45" s="30">
        <v>14.48</v>
      </c>
      <c r="C45" s="30">
        <v>0.128371</v>
      </c>
      <c r="D45" s="30">
        <v>0.118222</v>
      </c>
      <c r="E45" s="30">
        <v>0.123296</v>
      </c>
    </row>
    <row r="46" ht="22.5" customHeight="1">
      <c r="A46" s="30">
        <v>4728.0</v>
      </c>
      <c r="B46" s="30">
        <v>14.89</v>
      </c>
      <c r="C46" s="30">
        <v>0.128116</v>
      </c>
      <c r="D46" s="30">
        <v>0.118925</v>
      </c>
      <c r="E46" s="30">
        <v>0.12352</v>
      </c>
    </row>
    <row r="47" ht="22.5" customHeight="1">
      <c r="A47" s="30">
        <v>4813.0</v>
      </c>
      <c r="B47" s="30">
        <v>15.31</v>
      </c>
      <c r="C47" s="30">
        <v>0.128269</v>
      </c>
      <c r="D47" s="30">
        <v>0.117808</v>
      </c>
      <c r="E47" s="30">
        <v>0.123038</v>
      </c>
    </row>
    <row r="48" ht="22.5" customHeight="1">
      <c r="A48" s="30">
        <v>4890.0</v>
      </c>
      <c r="B48" s="30">
        <v>15.76</v>
      </c>
      <c r="C48" s="30">
        <v>0.128555</v>
      </c>
      <c r="D48" s="30">
        <v>0.118057</v>
      </c>
      <c r="E48" s="30">
        <v>0.123306</v>
      </c>
    </row>
    <row r="49" ht="22.5" customHeight="1">
      <c r="A49" s="30">
        <v>4965.0</v>
      </c>
      <c r="B49" s="30">
        <v>16.18</v>
      </c>
      <c r="C49" s="30">
        <v>0.129277</v>
      </c>
      <c r="D49" s="30">
        <v>0.118003</v>
      </c>
      <c r="E49" s="30">
        <v>0.12364</v>
      </c>
    </row>
    <row r="50" ht="22.5" customHeight="1">
      <c r="A50" s="30">
        <v>5028.0</v>
      </c>
      <c r="B50" s="30">
        <v>16.62</v>
      </c>
      <c r="C50" s="30">
        <v>0.129585</v>
      </c>
      <c r="D50" s="30">
        <v>0.118091</v>
      </c>
      <c r="E50" s="30">
        <v>0.123838</v>
      </c>
    </row>
    <row r="51" ht="22.5" customHeight="1">
      <c r="A51" s="30">
        <v>5098.0</v>
      </c>
      <c r="B51" s="30">
        <v>17.07</v>
      </c>
      <c r="C51" s="30">
        <v>0.129539</v>
      </c>
      <c r="D51" s="30">
        <v>0.118106</v>
      </c>
      <c r="E51" s="30">
        <v>0.123822</v>
      </c>
    </row>
    <row r="52" ht="22.5" customHeight="1">
      <c r="A52" s="30">
        <v>5167.0</v>
      </c>
      <c r="B52" s="30">
        <v>17.52</v>
      </c>
      <c r="C52" s="30">
        <v>0.12993</v>
      </c>
      <c r="D52" s="30">
        <v>0.118003</v>
      </c>
      <c r="E52" s="30">
        <v>0.123967</v>
      </c>
    </row>
    <row r="53" ht="22.5" customHeight="1">
      <c r="A53" s="30">
        <v>5226.0</v>
      </c>
      <c r="B53" s="30">
        <v>17.98</v>
      </c>
      <c r="C53" s="30">
        <v>0.130902</v>
      </c>
      <c r="D53" s="30">
        <v>0.118036</v>
      </c>
      <c r="E53" s="30">
        <v>0.124469</v>
      </c>
    </row>
    <row r="54" ht="22.5" customHeight="1">
      <c r="A54" s="30">
        <v>5287.0</v>
      </c>
      <c r="B54" s="30">
        <v>18.45</v>
      </c>
      <c r="C54" s="30">
        <v>0.131251</v>
      </c>
      <c r="D54" s="30">
        <v>0.118189</v>
      </c>
      <c r="E54" s="30">
        <v>0.12472</v>
      </c>
    </row>
    <row r="55" ht="22.5" customHeight="1">
      <c r="A55" s="30">
        <v>5341.0</v>
      </c>
      <c r="B55" s="30">
        <v>18.92</v>
      </c>
      <c r="C55" s="30">
        <v>0.132117</v>
      </c>
      <c r="D55" s="30">
        <v>0.118161</v>
      </c>
      <c r="E55" s="30">
        <v>0.125139</v>
      </c>
    </row>
    <row r="56" ht="22.5" customHeight="1">
      <c r="A56" s="30">
        <v>5398.0</v>
      </c>
      <c r="B56" s="30">
        <v>19.42</v>
      </c>
      <c r="C56" s="30">
        <v>0.132464</v>
      </c>
      <c r="D56" s="30">
        <v>0.118273</v>
      </c>
      <c r="E56" s="30">
        <v>0.125368</v>
      </c>
    </row>
    <row r="57" ht="22.5" customHeight="1">
      <c r="A57" s="30">
        <v>5454.0</v>
      </c>
      <c r="B57" s="30">
        <v>19.99</v>
      </c>
      <c r="C57" s="30">
        <v>0.132811</v>
      </c>
      <c r="D57" s="30">
        <v>0.11817</v>
      </c>
      <c r="E57" s="30">
        <v>0.12549</v>
      </c>
    </row>
    <row r="58" ht="22.5" customHeight="1">
      <c r="A58" s="30">
        <v>5544.0</v>
      </c>
      <c r="B58" s="30">
        <v>20.48</v>
      </c>
      <c r="C58" s="30">
        <v>0.133485</v>
      </c>
      <c r="D58" s="30">
        <v>0.118344</v>
      </c>
      <c r="E58" s="30">
        <v>0.125915</v>
      </c>
    </row>
    <row r="59" ht="22.5" customHeight="1">
      <c r="A59" s="30">
        <v>5603.0</v>
      </c>
      <c r="B59" s="30">
        <v>20.98</v>
      </c>
      <c r="C59" s="30">
        <v>0.133439</v>
      </c>
      <c r="D59" s="30">
        <v>0.118348</v>
      </c>
      <c r="E59" s="30">
        <v>0.125894</v>
      </c>
    </row>
    <row r="60" ht="22.5" customHeight="1">
      <c r="A60" s="30">
        <v>5692.0</v>
      </c>
      <c r="B60" s="30">
        <v>21.49</v>
      </c>
      <c r="C60" s="30">
        <v>0.132865</v>
      </c>
      <c r="D60" s="30">
        <v>0.11863</v>
      </c>
      <c r="E60" s="30">
        <v>0.125748</v>
      </c>
    </row>
    <row r="61" ht="22.5" customHeight="1">
      <c r="A61" s="30">
        <v>5790.0</v>
      </c>
      <c r="B61" s="30">
        <v>21.99</v>
      </c>
      <c r="C61" s="30">
        <v>0.133894</v>
      </c>
      <c r="D61" s="30">
        <v>0.120045</v>
      </c>
      <c r="E61" s="30">
        <v>0.126969</v>
      </c>
    </row>
    <row r="62" ht="22.5" customHeight="1">
      <c r="A62" s="30">
        <v>5847.0</v>
      </c>
      <c r="B62" s="30">
        <v>22.51</v>
      </c>
      <c r="C62" s="30">
        <v>0.134402</v>
      </c>
      <c r="D62" s="30">
        <v>0.120074</v>
      </c>
      <c r="E62" s="30">
        <v>0.127238</v>
      </c>
    </row>
    <row r="63" ht="22.5" customHeight="1">
      <c r="A63" s="30">
        <v>5902.0</v>
      </c>
      <c r="B63" s="30">
        <v>23.03</v>
      </c>
      <c r="C63" s="30">
        <v>0.134318</v>
      </c>
      <c r="D63" s="30">
        <v>0.120097</v>
      </c>
      <c r="E63" s="30">
        <v>0.127207</v>
      </c>
    </row>
    <row r="64" ht="22.5" customHeight="1">
      <c r="A64" s="30">
        <v>5968.0</v>
      </c>
      <c r="B64" s="30">
        <v>23.57</v>
      </c>
      <c r="C64" s="30">
        <v>0.13461</v>
      </c>
      <c r="D64" s="30">
        <v>0.120056</v>
      </c>
      <c r="E64" s="30">
        <v>0.127333</v>
      </c>
    </row>
    <row r="65" ht="22.5" customHeight="1">
      <c r="A65" s="30">
        <v>6020.0</v>
      </c>
      <c r="B65" s="30">
        <v>24.1</v>
      </c>
      <c r="C65" s="30">
        <v>0.134564</v>
      </c>
      <c r="D65" s="30">
        <v>0.120218</v>
      </c>
      <c r="E65" s="30">
        <v>0.127391</v>
      </c>
    </row>
    <row r="66" ht="22.5" customHeight="1">
      <c r="A66" s="30">
        <v>6085.0</v>
      </c>
      <c r="B66" s="30">
        <v>24.7</v>
      </c>
      <c r="C66" s="30">
        <v>0.134906</v>
      </c>
      <c r="D66" s="30">
        <v>0.12047</v>
      </c>
      <c r="E66" s="30">
        <v>0.127688</v>
      </c>
    </row>
    <row r="67" ht="22.5" customHeight="1">
      <c r="A67" s="30">
        <v>6139.0</v>
      </c>
      <c r="B67" s="30">
        <v>25.25</v>
      </c>
      <c r="C67" s="30">
        <v>0.134743</v>
      </c>
      <c r="D67" s="30">
        <v>0.120767</v>
      </c>
      <c r="E67" s="30">
        <v>0.127755</v>
      </c>
    </row>
    <row r="68" ht="22.5" customHeight="1">
      <c r="A68" s="30">
        <v>6202.0</v>
      </c>
      <c r="B68" s="30">
        <v>25.83</v>
      </c>
      <c r="C68" s="30">
        <v>0.135044</v>
      </c>
      <c r="D68" s="30">
        <v>0.121023</v>
      </c>
      <c r="E68" s="30">
        <v>0.128033</v>
      </c>
    </row>
    <row r="69" ht="22.5" customHeight="1">
      <c r="A69" s="30">
        <v>6263.0</v>
      </c>
      <c r="B69" s="30">
        <v>26.38</v>
      </c>
      <c r="C69" s="30">
        <v>0.135053</v>
      </c>
      <c r="D69" s="30">
        <v>0.121063</v>
      </c>
      <c r="E69" s="30">
        <v>0.128058</v>
      </c>
    </row>
    <row r="70" ht="22.5" customHeight="1">
      <c r="A70" s="30">
        <v>6322.0</v>
      </c>
      <c r="B70" s="30">
        <v>26.94</v>
      </c>
      <c r="C70" s="30">
        <v>0.135091</v>
      </c>
      <c r="D70" s="30">
        <v>0.121282</v>
      </c>
      <c r="E70" s="30">
        <v>0.128186</v>
      </c>
    </row>
    <row r="71" ht="22.5" customHeight="1">
      <c r="A71" s="30">
        <v>6373.0</v>
      </c>
      <c r="B71" s="30">
        <v>27.51</v>
      </c>
      <c r="C71" s="30">
        <v>0.135581</v>
      </c>
      <c r="D71" s="30">
        <v>0.121138</v>
      </c>
      <c r="E71" s="30">
        <v>0.128359</v>
      </c>
    </row>
    <row r="72" ht="22.5" customHeight="1">
      <c r="A72" s="30">
        <v>6446.0</v>
      </c>
      <c r="B72" s="30">
        <v>28.09</v>
      </c>
      <c r="C72" s="30">
        <v>0.136246</v>
      </c>
      <c r="D72" s="30">
        <v>0.121236</v>
      </c>
      <c r="E72" s="30">
        <v>0.128741</v>
      </c>
    </row>
    <row r="73" ht="22.5" customHeight="1">
      <c r="A73" s="30">
        <v>6511.0</v>
      </c>
      <c r="B73" s="30">
        <v>28.67</v>
      </c>
      <c r="C73" s="30">
        <v>0.136176</v>
      </c>
      <c r="D73" s="30">
        <v>0.121367</v>
      </c>
      <c r="E73" s="30">
        <v>0.128772</v>
      </c>
    </row>
    <row r="74" ht="22.5" customHeight="1">
      <c r="A74" s="30">
        <v>6566.0</v>
      </c>
      <c r="B74" s="30">
        <v>29.25</v>
      </c>
      <c r="C74" s="30">
        <v>0.136405</v>
      </c>
      <c r="D74" s="30">
        <v>0.121514</v>
      </c>
      <c r="E74" s="30">
        <v>0.12896</v>
      </c>
    </row>
    <row r="75" ht="22.5" customHeight="1">
      <c r="A75" s="30">
        <v>6609.0</v>
      </c>
      <c r="B75" s="30">
        <v>29.85</v>
      </c>
      <c r="C75" s="30">
        <v>0.136815</v>
      </c>
      <c r="D75" s="30">
        <v>0.122133</v>
      </c>
      <c r="E75" s="30">
        <v>0.129474</v>
      </c>
    </row>
    <row r="76" ht="22.5" customHeight="1">
      <c r="A76" s="30">
        <v>6665.0</v>
      </c>
      <c r="B76" s="30">
        <v>30.47</v>
      </c>
      <c r="C76" s="30">
        <v>0.136871</v>
      </c>
      <c r="D76" s="30">
        <v>0.122091</v>
      </c>
      <c r="E76" s="30">
        <v>0.129481</v>
      </c>
    </row>
    <row r="77" ht="22.5" customHeight="1">
      <c r="A77" s="30">
        <v>6742.0</v>
      </c>
      <c r="B77" s="30">
        <v>31.08</v>
      </c>
      <c r="C77" s="30">
        <v>0.136732</v>
      </c>
      <c r="D77" s="30">
        <v>0.12266</v>
      </c>
      <c r="E77" s="30">
        <v>0.129696</v>
      </c>
    </row>
    <row r="78" ht="22.5" customHeight="1">
      <c r="A78" s="30">
        <v>6814.0</v>
      </c>
      <c r="B78" s="30">
        <v>31.71</v>
      </c>
      <c r="C78" s="30">
        <v>0.137307</v>
      </c>
      <c r="D78" s="30">
        <v>0.122779</v>
      </c>
      <c r="E78" s="30">
        <v>0.130043</v>
      </c>
    </row>
    <row r="79" ht="22.5" customHeight="1">
      <c r="A79" s="30">
        <v>6874.0</v>
      </c>
      <c r="B79" s="30">
        <v>32.35</v>
      </c>
      <c r="C79" s="30">
        <v>0.137121</v>
      </c>
      <c r="D79" s="30">
        <v>0.123145</v>
      </c>
      <c r="E79" s="30">
        <v>0.130133</v>
      </c>
    </row>
    <row r="80" ht="22.5" customHeight="1">
      <c r="A80" s="30">
        <v>6926.0</v>
      </c>
      <c r="B80" s="30">
        <v>33.01</v>
      </c>
      <c r="C80" s="30">
        <v>0.138229</v>
      </c>
      <c r="D80" s="30">
        <v>0.122898</v>
      </c>
      <c r="E80" s="30">
        <v>0.130563</v>
      </c>
    </row>
    <row r="81" ht="22.5" customHeight="1">
      <c r="A81" s="30">
        <v>6972.0</v>
      </c>
      <c r="B81" s="30">
        <v>33.71</v>
      </c>
      <c r="C81" s="30">
        <v>0.138276</v>
      </c>
      <c r="D81" s="30">
        <v>0.122956</v>
      </c>
      <c r="E81" s="30">
        <v>0.130616</v>
      </c>
    </row>
    <row r="82" ht="22.5" customHeight="1">
      <c r="A82" s="30">
        <v>7028.0</v>
      </c>
      <c r="B82" s="30">
        <v>34.43</v>
      </c>
      <c r="C82" s="30">
        <v>0.138559</v>
      </c>
      <c r="D82" s="30">
        <v>0.123146</v>
      </c>
      <c r="E82" s="30">
        <v>0.130852</v>
      </c>
    </row>
    <row r="83" ht="22.5" customHeight="1">
      <c r="A83" s="30">
        <v>7102.0</v>
      </c>
      <c r="B83" s="30">
        <v>35.09</v>
      </c>
      <c r="C83" s="30">
        <v>0.138452</v>
      </c>
      <c r="D83" s="30">
        <v>0.123795</v>
      </c>
      <c r="E83" s="30">
        <v>0.131124</v>
      </c>
    </row>
    <row r="84" ht="22.5" customHeight="1">
      <c r="A84" s="30">
        <v>7190.0</v>
      </c>
      <c r="B84" s="30">
        <v>35.83</v>
      </c>
      <c r="C84" s="30">
        <v>0.138702</v>
      </c>
      <c r="D84" s="30">
        <v>0.123767</v>
      </c>
      <c r="E84" s="30">
        <v>0.131234</v>
      </c>
    </row>
    <row r="85" ht="22.5" customHeight="1">
      <c r="A85" s="30">
        <v>7241.0</v>
      </c>
      <c r="B85" s="30">
        <v>36.5</v>
      </c>
      <c r="C85" s="30">
        <v>0.138958</v>
      </c>
      <c r="D85" s="30">
        <v>0.123893</v>
      </c>
      <c r="E85" s="30">
        <v>0.131425</v>
      </c>
    </row>
    <row r="86" ht="22.5" customHeight="1">
      <c r="A86" s="30">
        <v>7317.0</v>
      </c>
      <c r="B86" s="30">
        <v>37.17</v>
      </c>
      <c r="C86" s="30">
        <v>0.138895</v>
      </c>
      <c r="D86" s="30">
        <v>0.123982</v>
      </c>
      <c r="E86" s="30">
        <v>0.131439</v>
      </c>
    </row>
    <row r="87" ht="22.5" customHeight="1">
      <c r="A87" s="30">
        <v>7370.0</v>
      </c>
      <c r="B87" s="30">
        <v>37.83</v>
      </c>
      <c r="C87" s="30">
        <v>0.138895</v>
      </c>
      <c r="D87" s="30">
        <v>0.123982</v>
      </c>
      <c r="E87" s="30">
        <v>0.131439</v>
      </c>
    </row>
    <row r="93">
      <c r="C93" s="33" t="s">
        <v>44</v>
      </c>
      <c r="D93" s="33">
        <v>0.124638</v>
      </c>
    </row>
    <row r="94">
      <c r="A94" s="34"/>
      <c r="B94" s="34"/>
      <c r="C94" s="34"/>
      <c r="D94" s="13"/>
      <c r="E94" s="34"/>
    </row>
    <row r="95" ht="22.5" customHeight="1">
      <c r="A95" s="4" t="s">
        <v>45</v>
      </c>
      <c r="B95" s="4" t="s">
        <v>46</v>
      </c>
      <c r="C95" s="4" t="s">
        <v>47</v>
      </c>
      <c r="D95" s="29" t="s">
        <v>48</v>
      </c>
      <c r="E95" s="29" t="s">
        <v>49</v>
      </c>
      <c r="F95" s="4" t="s">
        <v>39</v>
      </c>
      <c r="G95" s="4" t="s">
        <v>50</v>
      </c>
    </row>
    <row r="96" ht="22.5" customHeight="1">
      <c r="A96" s="35">
        <v>1.0</v>
      </c>
      <c r="B96" s="39">
        <v>7370.0</v>
      </c>
      <c r="C96" s="40">
        <v>0.131439</v>
      </c>
      <c r="D96" s="59">
        <f t="shared" ref="D96:D102" si="1">abs(C96-D$93)^2</f>
        <v>0.000046253601</v>
      </c>
      <c r="E96" s="36">
        <f t="shared" ref="E96:E102" si="2">(C96-C$103/7)^2</f>
        <v>0.000006122796755</v>
      </c>
      <c r="F96" s="30">
        <v>37.83</v>
      </c>
      <c r="G96" s="55">
        <f t="shared" ref="G96:G102" si="3">ABS(C96-D$93)/D$93</f>
        <v>0.0545660232</v>
      </c>
    </row>
    <row r="97" ht="22.5" customHeight="1">
      <c r="A97" s="35">
        <v>2.0</v>
      </c>
      <c r="B97" s="35">
        <v>6448.0</v>
      </c>
      <c r="C97" s="6">
        <v>0.129133</v>
      </c>
      <c r="D97" s="59">
        <f t="shared" si="1"/>
        <v>0.000020205025</v>
      </c>
      <c r="E97" s="36">
        <f t="shared" si="2"/>
        <v>0.00000002836818367</v>
      </c>
      <c r="F97" s="35">
        <v>24.0</v>
      </c>
      <c r="G97" s="55">
        <f t="shared" si="3"/>
        <v>0.03606444263</v>
      </c>
    </row>
    <row r="98" ht="22.5" customHeight="1">
      <c r="A98" s="35">
        <v>3.0</v>
      </c>
      <c r="B98" s="35">
        <v>7009.0</v>
      </c>
      <c r="C98" s="6">
        <v>0.130471</v>
      </c>
      <c r="D98" s="59">
        <f t="shared" si="1"/>
        <v>0.000034023889</v>
      </c>
      <c r="E98" s="36">
        <f t="shared" si="2"/>
        <v>0.000002269327041</v>
      </c>
      <c r="F98" s="35">
        <v>34.41</v>
      </c>
      <c r="G98" s="55">
        <f t="shared" si="3"/>
        <v>0.04679953144</v>
      </c>
    </row>
    <row r="99" ht="22.5" customHeight="1">
      <c r="A99" s="35">
        <v>4.0</v>
      </c>
      <c r="B99" s="35">
        <v>6387.0</v>
      </c>
      <c r="C99" s="6">
        <v>0.130339</v>
      </c>
      <c r="D99" s="59">
        <f t="shared" si="1"/>
        <v>0.000032501401</v>
      </c>
      <c r="E99" s="36">
        <f t="shared" si="2"/>
        <v>0.000001889053898</v>
      </c>
      <c r="F99" s="35">
        <v>24.65</v>
      </c>
      <c r="G99" s="55">
        <f t="shared" si="3"/>
        <v>0.04574046438</v>
      </c>
    </row>
    <row r="100" ht="22.5" customHeight="1">
      <c r="A100" s="35">
        <v>5.0</v>
      </c>
      <c r="B100" s="35">
        <v>5996.0</v>
      </c>
      <c r="C100" s="6">
        <v>0.125174</v>
      </c>
      <c r="D100" s="59">
        <f t="shared" si="1"/>
        <v>0.000000287296</v>
      </c>
      <c r="E100" s="36">
        <f t="shared" si="2"/>
        <v>0.00001436843176</v>
      </c>
      <c r="F100" s="35">
        <v>21.82</v>
      </c>
      <c r="G100" s="55">
        <f t="shared" si="3"/>
        <v>0.004300454115</v>
      </c>
    </row>
    <row r="101" ht="22.5" customHeight="1">
      <c r="A101" s="35">
        <v>6.0</v>
      </c>
      <c r="B101" s="35">
        <v>6651.0</v>
      </c>
      <c r="C101" s="6">
        <v>0.131053</v>
      </c>
      <c r="D101" s="59">
        <f t="shared" si="1"/>
        <v>0.000041152225</v>
      </c>
      <c r="E101" s="36">
        <f t="shared" si="2"/>
        <v>0.000004361533898</v>
      </c>
      <c r="F101" s="35">
        <v>27.05</v>
      </c>
      <c r="G101" s="55">
        <f t="shared" si="3"/>
        <v>0.05146905438</v>
      </c>
    </row>
    <row r="102" ht="22.5" customHeight="1">
      <c r="A102" s="35">
        <v>7.0</v>
      </c>
      <c r="B102" s="35">
        <v>5191.0</v>
      </c>
      <c r="C102" s="6">
        <v>0.125143</v>
      </c>
      <c r="D102" s="59">
        <f t="shared" si="1"/>
        <v>0.000000255025</v>
      </c>
      <c r="E102" s="36">
        <f t="shared" si="2"/>
        <v>0.00001460440818</v>
      </c>
      <c r="F102" s="35">
        <v>17.08</v>
      </c>
      <c r="G102" s="55">
        <f t="shared" si="3"/>
        <v>0.004051733821</v>
      </c>
    </row>
    <row r="103" ht="22.5" customHeight="1">
      <c r="A103" s="41" t="s">
        <v>53</v>
      </c>
      <c r="B103" s="42">
        <f t="shared" ref="B103:G103" si="4">SUM(B96:B102)</f>
        <v>45052</v>
      </c>
      <c r="C103" s="43">
        <f t="shared" si="4"/>
        <v>0.902752</v>
      </c>
      <c r="D103" s="42">
        <f t="shared" si="4"/>
        <v>0.000174678462</v>
      </c>
      <c r="E103" s="42">
        <f t="shared" si="4"/>
        <v>0.00004364391971</v>
      </c>
      <c r="F103" s="42">
        <f t="shared" si="4"/>
        <v>186.84</v>
      </c>
      <c r="G103" s="42">
        <f t="shared" si="4"/>
        <v>0.242991704</v>
      </c>
    </row>
    <row r="104">
      <c r="H104" s="25"/>
    </row>
  </sheetData>
  <dataValidations>
    <dataValidation type="custom" allowBlank="1" showDropDown="1" sqref="A96:C103 G96:G103">
      <formula1>AND(ISNUMBER(A96),(NOT(OR(NOT(ISERROR(DATEVALUE(A96))), AND(ISNUMBER(A96), LEFT(CELL("format", A96))="D")))))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5"/>
    <col customWidth="1" min="3" max="3" width="21.63"/>
    <col customWidth="1" min="4" max="4" width="18.38"/>
    <col customWidth="1" min="5" max="5" width="22.25"/>
    <col customWidth="1" min="6" max="6" width="17.88"/>
    <col customWidth="1" min="7" max="7" width="18.75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  <c r="F1" s="54"/>
      <c r="G1" s="54"/>
      <c r="H1" s="54"/>
      <c r="I1" s="54"/>
      <c r="J1" s="54"/>
      <c r="K1" s="54"/>
      <c r="L1" s="54"/>
      <c r="M1" s="54"/>
      <c r="N1" s="54"/>
    </row>
    <row r="2" ht="22.5" customHeight="1">
      <c r="A2" s="60">
        <v>550.0</v>
      </c>
      <c r="B2" s="60">
        <v>2.89</v>
      </c>
      <c r="C2" s="60">
        <v>0.008047</v>
      </c>
      <c r="D2" s="60">
        <v>0.008048</v>
      </c>
      <c r="E2" s="60">
        <v>0.008047</v>
      </c>
      <c r="F2" s="54"/>
      <c r="G2" s="54"/>
      <c r="H2" s="54"/>
      <c r="I2" s="54"/>
      <c r="J2" s="54"/>
      <c r="K2" s="54"/>
      <c r="L2" s="54"/>
      <c r="M2" s="54"/>
      <c r="N2" s="54"/>
    </row>
    <row r="3" ht="22.5" customHeight="1">
      <c r="A3" s="60">
        <v>592.0</v>
      </c>
      <c r="B3" s="60">
        <v>3.01</v>
      </c>
      <c r="C3" s="60">
        <v>0.008468</v>
      </c>
      <c r="D3" s="60">
        <v>0.008443</v>
      </c>
      <c r="E3" s="60">
        <v>0.008456</v>
      </c>
      <c r="F3" s="54"/>
      <c r="G3" s="54"/>
      <c r="H3" s="54"/>
      <c r="I3" s="54"/>
      <c r="J3" s="54"/>
      <c r="K3" s="54"/>
      <c r="L3" s="54"/>
      <c r="M3" s="54"/>
      <c r="N3" s="54"/>
    </row>
    <row r="4" ht="22.5" customHeight="1">
      <c r="A4" s="60">
        <v>1260.0</v>
      </c>
      <c r="B4" s="60">
        <v>3.14</v>
      </c>
      <c r="C4" s="60">
        <v>0.039222</v>
      </c>
      <c r="D4" s="60">
        <v>0.026109</v>
      </c>
      <c r="E4" s="60">
        <v>0.032666</v>
      </c>
      <c r="F4" s="54"/>
      <c r="G4" s="54"/>
      <c r="H4" s="54"/>
      <c r="I4" s="54"/>
      <c r="J4" s="54"/>
      <c r="K4" s="54"/>
      <c r="L4" s="54"/>
      <c r="M4" s="54"/>
      <c r="N4" s="54"/>
    </row>
    <row r="5" ht="22.5" customHeight="1">
      <c r="A5" s="60">
        <v>1336.0</v>
      </c>
      <c r="B5" s="60">
        <v>3.27</v>
      </c>
      <c r="C5" s="60">
        <v>0.039756</v>
      </c>
      <c r="D5" s="60">
        <v>0.028432</v>
      </c>
      <c r="E5" s="60">
        <v>0.034094</v>
      </c>
      <c r="F5" s="54"/>
      <c r="G5" s="54"/>
      <c r="H5" s="54"/>
      <c r="I5" s="54"/>
      <c r="J5" s="54"/>
      <c r="K5" s="54"/>
      <c r="L5" s="54"/>
      <c r="M5" s="54"/>
      <c r="N5" s="54"/>
    </row>
    <row r="6" ht="22.5" customHeight="1">
      <c r="A6" s="60">
        <v>1473.0</v>
      </c>
      <c r="B6" s="60">
        <v>3.41</v>
      </c>
      <c r="C6" s="60">
        <v>0.042276</v>
      </c>
      <c r="D6" s="60">
        <v>0.030707</v>
      </c>
      <c r="E6" s="60">
        <v>0.036492</v>
      </c>
      <c r="F6" s="54"/>
      <c r="G6" s="54"/>
      <c r="H6" s="54"/>
      <c r="I6" s="54"/>
      <c r="J6" s="54"/>
      <c r="K6" s="54"/>
      <c r="L6" s="54"/>
      <c r="M6" s="54"/>
      <c r="N6" s="54"/>
    </row>
    <row r="7" ht="22.5" customHeight="1">
      <c r="A7" s="60">
        <v>1536.0</v>
      </c>
      <c r="B7" s="60">
        <v>3.56</v>
      </c>
      <c r="C7" s="60">
        <v>0.053115</v>
      </c>
      <c r="D7" s="60">
        <v>0.0327</v>
      </c>
      <c r="E7" s="60">
        <v>0.042907</v>
      </c>
      <c r="F7" s="54"/>
      <c r="G7" s="54"/>
      <c r="H7" s="54"/>
      <c r="I7" s="54"/>
      <c r="J7" s="54"/>
      <c r="K7" s="54"/>
      <c r="L7" s="54"/>
      <c r="M7" s="54"/>
      <c r="N7" s="54"/>
    </row>
    <row r="8" ht="22.5" customHeight="1">
      <c r="A8" s="60">
        <v>1614.0</v>
      </c>
      <c r="B8" s="60">
        <v>3.71</v>
      </c>
      <c r="C8" s="60">
        <v>0.054411</v>
      </c>
      <c r="D8" s="60">
        <v>0.033943</v>
      </c>
      <c r="E8" s="60">
        <v>0.044177</v>
      </c>
      <c r="F8" s="54"/>
      <c r="G8" s="54"/>
      <c r="H8" s="54"/>
      <c r="I8" s="54"/>
      <c r="J8" s="54"/>
      <c r="K8" s="54"/>
      <c r="L8" s="54"/>
      <c r="M8" s="54"/>
      <c r="N8" s="54"/>
    </row>
    <row r="9" ht="22.5" customHeight="1">
      <c r="A9" s="60">
        <v>1693.0</v>
      </c>
      <c r="B9" s="60">
        <v>3.87</v>
      </c>
      <c r="C9" s="60">
        <v>0.056538</v>
      </c>
      <c r="D9" s="60">
        <v>0.035645</v>
      </c>
      <c r="E9" s="60">
        <v>0.046092</v>
      </c>
      <c r="F9" s="54"/>
      <c r="G9" s="54"/>
      <c r="H9" s="54"/>
      <c r="I9" s="54"/>
      <c r="J9" s="54"/>
      <c r="K9" s="54"/>
      <c r="L9" s="54"/>
      <c r="M9" s="54"/>
      <c r="N9" s="54"/>
    </row>
    <row r="10" ht="22.5" customHeight="1">
      <c r="A10" s="60">
        <v>1826.0</v>
      </c>
      <c r="B10" s="60">
        <v>4.03</v>
      </c>
      <c r="C10" s="60">
        <v>0.05627</v>
      </c>
      <c r="D10" s="60">
        <v>0.043213</v>
      </c>
      <c r="E10" s="60">
        <v>0.049742</v>
      </c>
      <c r="F10" s="54"/>
      <c r="G10" s="54"/>
      <c r="H10" s="54"/>
      <c r="I10" s="54"/>
      <c r="J10" s="54"/>
      <c r="K10" s="54"/>
      <c r="L10" s="54"/>
      <c r="M10" s="54"/>
      <c r="N10" s="54"/>
    </row>
    <row r="11" ht="22.5" customHeight="1">
      <c r="A11" s="60">
        <v>1891.0</v>
      </c>
      <c r="B11" s="60">
        <v>4.21</v>
      </c>
      <c r="C11" s="60">
        <v>0.060296</v>
      </c>
      <c r="D11" s="60">
        <v>0.049575</v>
      </c>
      <c r="E11" s="60">
        <v>0.054936</v>
      </c>
      <c r="F11" s="54"/>
      <c r="G11" s="54"/>
      <c r="H11" s="54"/>
      <c r="I11" s="54"/>
      <c r="J11" s="54"/>
      <c r="K11" s="54"/>
      <c r="L11" s="54"/>
      <c r="M11" s="54"/>
      <c r="N11" s="54"/>
    </row>
    <row r="12" ht="22.5" customHeight="1">
      <c r="A12" s="60">
        <v>2035.0</v>
      </c>
      <c r="B12" s="60">
        <v>4.47</v>
      </c>
      <c r="C12" s="60">
        <v>0.061371</v>
      </c>
      <c r="D12" s="60">
        <v>0.052994</v>
      </c>
      <c r="E12" s="60">
        <v>0.057182</v>
      </c>
      <c r="F12" s="54"/>
      <c r="G12" s="54"/>
      <c r="H12" s="54"/>
      <c r="I12" s="54"/>
      <c r="J12" s="54"/>
      <c r="K12" s="54"/>
      <c r="L12" s="54"/>
      <c r="M12" s="54"/>
      <c r="N12" s="54"/>
    </row>
    <row r="13" ht="22.5" customHeight="1">
      <c r="A13" s="60">
        <v>2096.0</v>
      </c>
      <c r="B13" s="60">
        <v>4.65</v>
      </c>
      <c r="C13" s="60">
        <v>0.061787</v>
      </c>
      <c r="D13" s="60">
        <v>0.054191</v>
      </c>
      <c r="E13" s="60">
        <v>0.057989</v>
      </c>
      <c r="F13" s="54"/>
      <c r="G13" s="54"/>
      <c r="H13" s="54"/>
      <c r="I13" s="54"/>
      <c r="J13" s="54"/>
      <c r="K13" s="54"/>
      <c r="L13" s="54"/>
      <c r="M13" s="54"/>
      <c r="N13" s="54"/>
    </row>
    <row r="14" ht="22.5" customHeight="1">
      <c r="A14" s="60">
        <v>2135.0</v>
      </c>
      <c r="B14" s="60">
        <v>4.85</v>
      </c>
      <c r="C14" s="60">
        <v>0.061962</v>
      </c>
      <c r="D14" s="60">
        <v>0.054746</v>
      </c>
      <c r="E14" s="60">
        <v>0.058354</v>
      </c>
      <c r="F14" s="54"/>
      <c r="G14" s="54"/>
      <c r="H14" s="54"/>
      <c r="I14" s="54"/>
      <c r="J14" s="54"/>
      <c r="K14" s="54"/>
      <c r="L14" s="54"/>
      <c r="M14" s="54"/>
      <c r="N14" s="54"/>
    </row>
    <row r="15" ht="22.5" customHeight="1">
      <c r="A15" s="60">
        <v>2345.0</v>
      </c>
      <c r="B15" s="60">
        <v>5.05</v>
      </c>
      <c r="C15" s="60">
        <v>0.068314</v>
      </c>
      <c r="D15" s="60">
        <v>0.064943</v>
      </c>
      <c r="E15" s="60">
        <v>0.066628</v>
      </c>
      <c r="F15" s="54"/>
      <c r="G15" s="54"/>
      <c r="H15" s="54"/>
      <c r="I15" s="54"/>
      <c r="J15" s="54"/>
      <c r="K15" s="54"/>
      <c r="L15" s="54"/>
      <c r="M15" s="54"/>
      <c r="N15" s="54"/>
    </row>
    <row r="16" ht="22.5" customHeight="1">
      <c r="A16" s="60">
        <v>2386.0</v>
      </c>
      <c r="B16" s="60">
        <v>5.27</v>
      </c>
      <c r="C16" s="60">
        <v>0.068597</v>
      </c>
      <c r="D16" s="60">
        <v>0.065016</v>
      </c>
      <c r="E16" s="60">
        <v>0.066806</v>
      </c>
      <c r="F16" s="54"/>
      <c r="G16" s="54"/>
      <c r="H16" s="54"/>
      <c r="I16" s="54"/>
      <c r="J16" s="54"/>
      <c r="K16" s="54"/>
      <c r="L16" s="54"/>
      <c r="M16" s="54"/>
      <c r="N16" s="54"/>
    </row>
    <row r="17" ht="22.5" customHeight="1">
      <c r="A17" s="60">
        <v>2463.0</v>
      </c>
      <c r="B17" s="60">
        <v>5.5</v>
      </c>
      <c r="C17" s="60">
        <v>0.070104</v>
      </c>
      <c r="D17" s="60">
        <v>0.071958</v>
      </c>
      <c r="E17" s="60">
        <v>0.071031</v>
      </c>
      <c r="F17" s="54"/>
      <c r="G17" s="54"/>
      <c r="H17" s="54"/>
      <c r="I17" s="54"/>
      <c r="J17" s="54"/>
      <c r="K17" s="54"/>
      <c r="L17" s="54"/>
      <c r="M17" s="54"/>
      <c r="N17" s="54"/>
    </row>
    <row r="18" ht="22.5" customHeight="1">
      <c r="A18" s="60">
        <v>2530.0</v>
      </c>
      <c r="B18" s="60">
        <v>5.71</v>
      </c>
      <c r="C18" s="60">
        <v>0.073199</v>
      </c>
      <c r="D18" s="60">
        <v>0.071385</v>
      </c>
      <c r="E18" s="60">
        <v>0.072292</v>
      </c>
      <c r="F18" s="54"/>
      <c r="G18" s="54"/>
      <c r="H18" s="54"/>
      <c r="I18" s="54"/>
      <c r="J18" s="54"/>
      <c r="K18" s="54"/>
      <c r="L18" s="54"/>
      <c r="M18" s="54"/>
      <c r="N18" s="54"/>
    </row>
    <row r="19" ht="22.5" customHeight="1">
      <c r="A19" s="60">
        <v>2621.0</v>
      </c>
      <c r="B19" s="60">
        <v>6.01</v>
      </c>
      <c r="C19" s="60">
        <v>0.074135</v>
      </c>
      <c r="D19" s="60">
        <v>0.072871</v>
      </c>
      <c r="E19" s="60">
        <v>0.073503</v>
      </c>
      <c r="F19" s="54"/>
      <c r="G19" s="54"/>
      <c r="H19" s="54"/>
      <c r="I19" s="54"/>
      <c r="J19" s="54"/>
      <c r="K19" s="54"/>
      <c r="L19" s="54"/>
      <c r="M19" s="54"/>
      <c r="N19" s="54"/>
    </row>
    <row r="20" ht="22.5" customHeight="1">
      <c r="A20" s="60">
        <v>2692.0</v>
      </c>
      <c r="B20" s="60">
        <v>6.27</v>
      </c>
      <c r="C20" s="60">
        <v>0.074561</v>
      </c>
      <c r="D20" s="60">
        <v>0.073863</v>
      </c>
      <c r="E20" s="60">
        <v>0.074212</v>
      </c>
      <c r="F20" s="54"/>
      <c r="G20" s="54"/>
      <c r="H20" s="54"/>
      <c r="I20" s="54"/>
      <c r="J20" s="54"/>
      <c r="K20" s="54"/>
      <c r="L20" s="54"/>
      <c r="M20" s="54"/>
      <c r="N20" s="54"/>
    </row>
    <row r="21" ht="22.5" customHeight="1">
      <c r="A21" s="60">
        <v>2754.0</v>
      </c>
      <c r="B21" s="60">
        <v>6.53</v>
      </c>
      <c r="C21" s="60">
        <v>0.075129</v>
      </c>
      <c r="D21" s="60">
        <v>0.074304</v>
      </c>
      <c r="E21" s="60">
        <v>0.074716</v>
      </c>
      <c r="F21" s="54"/>
      <c r="G21" s="54"/>
      <c r="H21" s="54"/>
      <c r="I21" s="54"/>
      <c r="J21" s="54"/>
      <c r="K21" s="54"/>
      <c r="L21" s="54"/>
      <c r="M21" s="54"/>
      <c r="N21" s="54"/>
    </row>
    <row r="22" ht="22.5" customHeight="1">
      <c r="A22" s="60">
        <v>2796.0</v>
      </c>
      <c r="B22" s="60">
        <v>6.78</v>
      </c>
      <c r="C22" s="60">
        <v>0.076257</v>
      </c>
      <c r="D22" s="60">
        <v>0.088109</v>
      </c>
      <c r="E22" s="60">
        <v>0.082183</v>
      </c>
      <c r="F22" s="54"/>
      <c r="G22" s="54"/>
      <c r="H22" s="54"/>
      <c r="I22" s="54"/>
      <c r="J22" s="54"/>
      <c r="K22" s="54"/>
      <c r="L22" s="54"/>
      <c r="M22" s="54"/>
      <c r="N22" s="54"/>
    </row>
    <row r="23" ht="22.5" customHeight="1">
      <c r="A23" s="60">
        <v>2846.0</v>
      </c>
      <c r="B23" s="60">
        <v>7.04</v>
      </c>
      <c r="C23" s="60">
        <v>0.076718</v>
      </c>
      <c r="D23" s="60">
        <v>0.08823</v>
      </c>
      <c r="E23" s="60">
        <v>0.082474</v>
      </c>
      <c r="F23" s="54"/>
      <c r="G23" s="54"/>
      <c r="H23" s="54"/>
      <c r="I23" s="54"/>
      <c r="J23" s="54"/>
      <c r="K23" s="54"/>
      <c r="L23" s="54"/>
      <c r="M23" s="54"/>
      <c r="N23" s="54"/>
    </row>
    <row r="24" ht="22.5" customHeight="1">
      <c r="A24" s="60">
        <v>2899.0</v>
      </c>
      <c r="B24" s="60">
        <v>7.28</v>
      </c>
      <c r="C24" s="60">
        <v>0.080604</v>
      </c>
      <c r="D24" s="60">
        <v>0.08871</v>
      </c>
      <c r="E24" s="60">
        <v>0.084657</v>
      </c>
      <c r="F24" s="54"/>
      <c r="G24" s="54"/>
      <c r="H24" s="54"/>
      <c r="I24" s="54"/>
      <c r="J24" s="54"/>
      <c r="K24" s="54"/>
      <c r="L24" s="54"/>
      <c r="M24" s="54"/>
      <c r="N24" s="54"/>
    </row>
    <row r="25" ht="22.5" customHeight="1">
      <c r="A25" s="60">
        <v>3004.0</v>
      </c>
      <c r="B25" s="60">
        <v>7.53</v>
      </c>
      <c r="C25" s="60">
        <v>0.084905</v>
      </c>
      <c r="D25" s="60">
        <v>0.095562</v>
      </c>
      <c r="E25" s="60">
        <v>0.090233</v>
      </c>
      <c r="F25" s="54"/>
      <c r="G25" s="54"/>
      <c r="H25" s="54"/>
      <c r="I25" s="54"/>
      <c r="J25" s="54"/>
      <c r="K25" s="54"/>
      <c r="L25" s="54"/>
      <c r="M25" s="54"/>
      <c r="N25" s="54"/>
    </row>
    <row r="26" ht="22.5" customHeight="1">
      <c r="A26" s="60">
        <v>3109.0</v>
      </c>
      <c r="B26" s="60">
        <v>7.82</v>
      </c>
      <c r="C26" s="60">
        <v>0.086973</v>
      </c>
      <c r="D26" s="60">
        <v>0.095845</v>
      </c>
      <c r="E26" s="60">
        <v>0.091409</v>
      </c>
      <c r="F26" s="54"/>
      <c r="G26" s="54"/>
      <c r="H26" s="54"/>
      <c r="I26" s="54"/>
      <c r="J26" s="54"/>
      <c r="K26" s="54"/>
      <c r="L26" s="54"/>
      <c r="M26" s="54"/>
      <c r="N26" s="54"/>
    </row>
    <row r="27" ht="22.5" customHeight="1">
      <c r="A27" s="60">
        <v>3180.0</v>
      </c>
      <c r="B27" s="60">
        <v>8.12</v>
      </c>
      <c r="C27" s="60">
        <v>0.087892</v>
      </c>
      <c r="D27" s="60">
        <v>0.095456</v>
      </c>
      <c r="E27" s="60">
        <v>0.091674</v>
      </c>
      <c r="F27" s="54"/>
      <c r="G27" s="54"/>
      <c r="H27" s="54"/>
      <c r="I27" s="54"/>
      <c r="J27" s="54"/>
      <c r="K27" s="54"/>
      <c r="L27" s="54"/>
      <c r="M27" s="54"/>
      <c r="N27" s="54"/>
    </row>
    <row r="28" ht="22.5" customHeight="1">
      <c r="A28" s="60">
        <v>3234.0</v>
      </c>
      <c r="B28" s="60">
        <v>8.46</v>
      </c>
      <c r="C28" s="60">
        <v>0.088069</v>
      </c>
      <c r="D28" s="60">
        <v>0.095784</v>
      </c>
      <c r="E28" s="60">
        <v>0.091926</v>
      </c>
      <c r="F28" s="54"/>
      <c r="G28" s="54"/>
      <c r="H28" s="54"/>
      <c r="I28" s="54"/>
      <c r="J28" s="54"/>
      <c r="K28" s="54"/>
      <c r="L28" s="54"/>
      <c r="M28" s="54"/>
      <c r="N28" s="54"/>
    </row>
    <row r="29" ht="22.5" customHeight="1">
      <c r="A29" s="60">
        <v>3331.0</v>
      </c>
      <c r="B29" s="60">
        <v>8.81</v>
      </c>
      <c r="C29" s="60">
        <v>0.089703</v>
      </c>
      <c r="D29" s="60">
        <v>0.095993</v>
      </c>
      <c r="E29" s="60">
        <v>0.092848</v>
      </c>
      <c r="F29" s="54"/>
      <c r="G29" s="54"/>
      <c r="H29" s="54"/>
      <c r="I29" s="54"/>
      <c r="J29" s="54"/>
      <c r="K29" s="54"/>
      <c r="L29" s="54"/>
      <c r="M29" s="54"/>
      <c r="N29" s="54"/>
    </row>
    <row r="30" ht="22.5" customHeight="1">
      <c r="A30" s="60">
        <v>3409.0</v>
      </c>
      <c r="B30" s="60">
        <v>9.15</v>
      </c>
      <c r="C30" s="60">
        <v>0.09205</v>
      </c>
      <c r="D30" s="60">
        <v>0.109674</v>
      </c>
      <c r="E30" s="60">
        <v>0.100862</v>
      </c>
      <c r="F30" s="54"/>
      <c r="G30" s="54"/>
      <c r="H30" s="54"/>
      <c r="I30" s="54"/>
      <c r="J30" s="54"/>
      <c r="K30" s="54"/>
      <c r="L30" s="54"/>
      <c r="M30" s="54"/>
      <c r="N30" s="54"/>
    </row>
    <row r="31" ht="22.5" customHeight="1">
      <c r="A31" s="60">
        <v>3478.0</v>
      </c>
      <c r="B31" s="60">
        <v>9.48</v>
      </c>
      <c r="C31" s="60">
        <v>0.094444</v>
      </c>
      <c r="D31" s="60">
        <v>0.109645</v>
      </c>
      <c r="E31" s="60">
        <v>0.102045</v>
      </c>
      <c r="F31" s="54"/>
      <c r="G31" s="54"/>
      <c r="H31" s="54"/>
      <c r="I31" s="54"/>
      <c r="J31" s="54"/>
      <c r="K31" s="54"/>
      <c r="L31" s="54"/>
      <c r="M31" s="54"/>
      <c r="N31" s="54"/>
    </row>
    <row r="32" ht="22.5" customHeight="1">
      <c r="A32" s="60">
        <v>3597.0</v>
      </c>
      <c r="B32" s="60">
        <v>9.83</v>
      </c>
      <c r="C32" s="60">
        <v>0.097097</v>
      </c>
      <c r="D32" s="60">
        <v>0.109678</v>
      </c>
      <c r="E32" s="60">
        <v>0.103387</v>
      </c>
      <c r="F32" s="54"/>
      <c r="G32" s="54"/>
      <c r="H32" s="54"/>
      <c r="I32" s="54"/>
      <c r="J32" s="54"/>
      <c r="K32" s="54"/>
      <c r="L32" s="54"/>
      <c r="M32" s="54"/>
      <c r="N32" s="54"/>
    </row>
    <row r="33" ht="22.5" customHeight="1">
      <c r="A33" s="60">
        <v>3672.0</v>
      </c>
      <c r="B33" s="60">
        <v>10.16</v>
      </c>
      <c r="C33" s="60">
        <v>0.098785</v>
      </c>
      <c r="D33" s="60">
        <v>0.109359</v>
      </c>
      <c r="E33" s="60">
        <v>0.104072</v>
      </c>
      <c r="F33" s="54"/>
      <c r="G33" s="54"/>
      <c r="H33" s="54"/>
      <c r="I33" s="54"/>
      <c r="J33" s="54"/>
      <c r="K33" s="54"/>
      <c r="L33" s="54"/>
      <c r="M33" s="54"/>
      <c r="N33" s="54"/>
    </row>
    <row r="34" ht="22.5" customHeight="1">
      <c r="A34" s="60">
        <v>3751.0</v>
      </c>
      <c r="B34" s="60">
        <v>10.53</v>
      </c>
      <c r="C34" s="60">
        <v>0.100845</v>
      </c>
      <c r="D34" s="60">
        <v>0.109746</v>
      </c>
      <c r="E34" s="60">
        <v>0.105296</v>
      </c>
      <c r="F34" s="54"/>
      <c r="G34" s="54"/>
      <c r="H34" s="54"/>
      <c r="I34" s="54"/>
      <c r="J34" s="54"/>
      <c r="K34" s="54"/>
      <c r="L34" s="54"/>
      <c r="M34" s="54"/>
      <c r="N34" s="54"/>
    </row>
    <row r="35" ht="22.5" customHeight="1">
      <c r="A35" s="60">
        <v>3800.0</v>
      </c>
      <c r="B35" s="60">
        <v>10.85</v>
      </c>
      <c r="C35" s="60">
        <v>0.100692</v>
      </c>
      <c r="D35" s="60">
        <v>0.110075</v>
      </c>
      <c r="E35" s="60">
        <v>0.105384</v>
      </c>
      <c r="F35" s="54"/>
      <c r="G35" s="54"/>
      <c r="H35" s="54"/>
      <c r="I35" s="54"/>
      <c r="J35" s="54"/>
      <c r="K35" s="54"/>
      <c r="L35" s="54"/>
      <c r="M35" s="54"/>
      <c r="N35" s="54"/>
    </row>
    <row r="36" ht="22.5" customHeight="1">
      <c r="A36" s="60">
        <v>3902.0</v>
      </c>
      <c r="B36" s="60">
        <v>11.24</v>
      </c>
      <c r="C36" s="60">
        <v>0.103415</v>
      </c>
      <c r="D36" s="60">
        <v>0.109513</v>
      </c>
      <c r="E36" s="60">
        <v>0.106464</v>
      </c>
      <c r="F36" s="54"/>
      <c r="G36" s="54"/>
      <c r="H36" s="54"/>
      <c r="I36" s="54"/>
      <c r="J36" s="54"/>
      <c r="K36" s="54"/>
      <c r="L36" s="54"/>
      <c r="M36" s="54"/>
      <c r="N36" s="54"/>
    </row>
    <row r="37" ht="22.5" customHeight="1">
      <c r="A37" s="60">
        <v>4008.0</v>
      </c>
      <c r="B37" s="60">
        <v>11.63</v>
      </c>
      <c r="C37" s="60">
        <v>0.106981</v>
      </c>
      <c r="D37" s="60">
        <v>0.110528</v>
      </c>
      <c r="E37" s="60">
        <v>0.108755</v>
      </c>
      <c r="F37" s="54"/>
      <c r="G37" s="54"/>
      <c r="H37" s="54"/>
      <c r="I37" s="54"/>
      <c r="J37" s="54"/>
      <c r="K37" s="54"/>
      <c r="L37" s="54"/>
      <c r="M37" s="54"/>
      <c r="N37" s="54"/>
    </row>
    <row r="38" ht="22.5" customHeight="1">
      <c r="A38" s="60">
        <v>4055.0</v>
      </c>
      <c r="B38" s="60">
        <v>12.02</v>
      </c>
      <c r="C38" s="60">
        <v>0.107038</v>
      </c>
      <c r="D38" s="60">
        <v>0.110771</v>
      </c>
      <c r="E38" s="60">
        <v>0.108905</v>
      </c>
      <c r="F38" s="54"/>
      <c r="G38" s="54"/>
      <c r="H38" s="54"/>
      <c r="I38" s="54"/>
      <c r="J38" s="54"/>
      <c r="K38" s="54"/>
      <c r="L38" s="54"/>
      <c r="M38" s="54"/>
      <c r="N38" s="54"/>
    </row>
    <row r="39" ht="22.5" customHeight="1">
      <c r="A39" s="60">
        <v>4096.0</v>
      </c>
      <c r="B39" s="60">
        <v>12.4</v>
      </c>
      <c r="C39" s="60">
        <v>0.107386</v>
      </c>
      <c r="D39" s="60">
        <v>0.111079</v>
      </c>
      <c r="E39" s="60">
        <v>0.109232</v>
      </c>
      <c r="F39" s="54"/>
      <c r="G39" s="54"/>
      <c r="H39" s="54"/>
      <c r="I39" s="54"/>
      <c r="J39" s="54"/>
      <c r="K39" s="54"/>
      <c r="L39" s="54"/>
      <c r="M39" s="54"/>
      <c r="N39" s="54"/>
    </row>
    <row r="40" ht="22.5" customHeight="1">
      <c r="A40" s="60">
        <v>4145.0</v>
      </c>
      <c r="B40" s="60">
        <v>12.81</v>
      </c>
      <c r="C40" s="60">
        <v>0.107906</v>
      </c>
      <c r="D40" s="60">
        <v>0.110836</v>
      </c>
      <c r="E40" s="60">
        <v>0.109371</v>
      </c>
      <c r="F40" s="54"/>
      <c r="G40" s="54"/>
      <c r="H40" s="54"/>
      <c r="I40" s="54"/>
      <c r="J40" s="54"/>
      <c r="K40" s="54"/>
      <c r="L40" s="54"/>
      <c r="M40" s="54"/>
      <c r="N40" s="54"/>
    </row>
    <row r="41" ht="22.5" customHeight="1">
      <c r="A41" s="60">
        <v>4216.0</v>
      </c>
      <c r="B41" s="60">
        <v>13.18</v>
      </c>
      <c r="C41" s="60">
        <v>0.108822</v>
      </c>
      <c r="D41" s="60">
        <v>0.110947</v>
      </c>
      <c r="E41" s="60">
        <v>0.109884</v>
      </c>
      <c r="F41" s="54"/>
      <c r="G41" s="54"/>
      <c r="H41" s="54"/>
      <c r="I41" s="54"/>
      <c r="J41" s="54"/>
      <c r="K41" s="54"/>
      <c r="L41" s="54"/>
      <c r="M41" s="54"/>
      <c r="N41" s="54"/>
    </row>
    <row r="42" ht="22.5" customHeight="1">
      <c r="A42" s="60">
        <v>4322.0</v>
      </c>
      <c r="B42" s="60">
        <v>13.56</v>
      </c>
      <c r="C42" s="60">
        <v>0.109328</v>
      </c>
      <c r="D42" s="60">
        <v>0.111062</v>
      </c>
      <c r="E42" s="60">
        <v>0.110195</v>
      </c>
      <c r="F42" s="54"/>
      <c r="G42" s="54"/>
      <c r="H42" s="54"/>
      <c r="I42" s="54"/>
      <c r="J42" s="54"/>
      <c r="K42" s="54"/>
      <c r="L42" s="54"/>
      <c r="M42" s="54"/>
      <c r="N42" s="54"/>
    </row>
    <row r="43" ht="22.5" customHeight="1">
      <c r="A43" s="60">
        <v>4409.0</v>
      </c>
      <c r="B43" s="60">
        <v>13.96</v>
      </c>
      <c r="C43" s="60">
        <v>0.110035</v>
      </c>
      <c r="D43" s="60">
        <v>0.110971</v>
      </c>
      <c r="E43" s="60">
        <v>0.110503</v>
      </c>
      <c r="F43" s="54"/>
      <c r="G43" s="54"/>
      <c r="H43" s="54"/>
      <c r="I43" s="54"/>
      <c r="J43" s="54"/>
      <c r="K43" s="54"/>
      <c r="L43" s="54"/>
      <c r="M43" s="54"/>
      <c r="N43" s="54"/>
    </row>
    <row r="44" ht="22.5" customHeight="1">
      <c r="A44" s="60">
        <v>4474.0</v>
      </c>
      <c r="B44" s="60">
        <v>14.39</v>
      </c>
      <c r="C44" s="60">
        <v>0.110431</v>
      </c>
      <c r="D44" s="60">
        <v>0.111576</v>
      </c>
      <c r="E44" s="60">
        <v>0.111004</v>
      </c>
      <c r="F44" s="54"/>
      <c r="G44" s="54"/>
      <c r="H44" s="54"/>
      <c r="I44" s="54"/>
      <c r="J44" s="54"/>
      <c r="K44" s="54"/>
      <c r="L44" s="54"/>
      <c r="M44" s="54"/>
      <c r="N44" s="54"/>
    </row>
    <row r="45" ht="22.5" customHeight="1">
      <c r="A45" s="60">
        <v>4548.0</v>
      </c>
      <c r="B45" s="60">
        <v>14.84</v>
      </c>
      <c r="C45" s="60">
        <v>0.110726</v>
      </c>
      <c r="D45" s="60">
        <v>0.111831</v>
      </c>
      <c r="E45" s="60">
        <v>0.111278</v>
      </c>
      <c r="F45" s="54"/>
      <c r="G45" s="54"/>
      <c r="H45" s="54"/>
      <c r="I45" s="54"/>
      <c r="J45" s="54"/>
      <c r="K45" s="54"/>
      <c r="L45" s="54"/>
      <c r="M45" s="54"/>
      <c r="N45" s="54"/>
    </row>
    <row r="46" ht="22.5" customHeight="1">
      <c r="A46" s="60">
        <v>4609.0</v>
      </c>
      <c r="B46" s="60">
        <v>15.27</v>
      </c>
      <c r="C46" s="60">
        <v>0.110932</v>
      </c>
      <c r="D46" s="60">
        <v>0.111968</v>
      </c>
      <c r="E46" s="60">
        <v>0.11145</v>
      </c>
      <c r="F46" s="54"/>
      <c r="G46" s="54"/>
      <c r="H46" s="54"/>
      <c r="I46" s="54"/>
      <c r="J46" s="54"/>
      <c r="K46" s="54"/>
      <c r="L46" s="54"/>
      <c r="M46" s="54"/>
      <c r="N46" s="54"/>
    </row>
    <row r="47" ht="22.5" customHeight="1">
      <c r="A47" s="60">
        <v>4718.0</v>
      </c>
      <c r="B47" s="60">
        <v>15.83</v>
      </c>
      <c r="C47" s="60">
        <v>0.113219</v>
      </c>
      <c r="D47" s="60">
        <v>0.119428</v>
      </c>
      <c r="E47" s="60">
        <v>0.116324</v>
      </c>
      <c r="F47" s="54"/>
      <c r="G47" s="54"/>
      <c r="H47" s="54"/>
      <c r="I47" s="54"/>
      <c r="J47" s="54"/>
      <c r="K47" s="54"/>
      <c r="L47" s="54"/>
      <c r="M47" s="54"/>
      <c r="N47" s="54"/>
    </row>
    <row r="48" ht="22.5" customHeight="1">
      <c r="A48" s="60">
        <v>4767.0</v>
      </c>
      <c r="B48" s="60">
        <v>16.23</v>
      </c>
      <c r="C48" s="60">
        <v>0.114117</v>
      </c>
      <c r="D48" s="60">
        <v>0.119886</v>
      </c>
      <c r="E48" s="60">
        <v>0.117001</v>
      </c>
      <c r="F48" s="54"/>
      <c r="G48" s="54"/>
      <c r="H48" s="54"/>
      <c r="I48" s="54"/>
      <c r="J48" s="54"/>
      <c r="K48" s="54"/>
      <c r="L48" s="54"/>
      <c r="M48" s="54"/>
      <c r="N48" s="54"/>
    </row>
    <row r="49" ht="22.5" customHeight="1">
      <c r="A49" s="60">
        <v>4834.0</v>
      </c>
      <c r="B49" s="60">
        <v>16.62</v>
      </c>
      <c r="C49" s="60">
        <v>0.114439</v>
      </c>
      <c r="D49" s="60">
        <v>0.119955</v>
      </c>
      <c r="E49" s="60">
        <v>0.117197</v>
      </c>
      <c r="F49" s="54"/>
      <c r="G49" s="54"/>
      <c r="H49" s="54"/>
      <c r="I49" s="54"/>
      <c r="J49" s="54"/>
      <c r="K49" s="54"/>
      <c r="L49" s="54"/>
      <c r="M49" s="54"/>
      <c r="N49" s="54"/>
    </row>
    <row r="50" ht="22.5" customHeight="1">
      <c r="A50" s="60">
        <v>4884.0</v>
      </c>
      <c r="B50" s="60">
        <v>17.27</v>
      </c>
      <c r="C50" s="60">
        <v>0.11483</v>
      </c>
      <c r="D50" s="60">
        <v>0.120191</v>
      </c>
      <c r="E50" s="60">
        <v>0.11751</v>
      </c>
      <c r="F50" s="54"/>
      <c r="G50" s="54"/>
      <c r="H50" s="54"/>
      <c r="I50" s="54"/>
      <c r="J50" s="54"/>
      <c r="K50" s="54"/>
      <c r="L50" s="54"/>
      <c r="M50" s="54"/>
      <c r="N50" s="54"/>
    </row>
    <row r="51" ht="22.5" customHeight="1">
      <c r="A51" s="60">
        <v>4944.0</v>
      </c>
      <c r="B51" s="60">
        <v>17.69</v>
      </c>
      <c r="C51" s="60">
        <v>0.115618</v>
      </c>
      <c r="D51" s="60">
        <v>0.127825</v>
      </c>
      <c r="E51" s="60">
        <v>0.121722</v>
      </c>
      <c r="F51" s="54"/>
      <c r="G51" s="54"/>
      <c r="H51" s="54"/>
      <c r="I51" s="54"/>
      <c r="J51" s="54"/>
      <c r="K51" s="54"/>
      <c r="L51" s="54"/>
      <c r="M51" s="54"/>
      <c r="N51" s="54"/>
    </row>
    <row r="52" ht="22.5" customHeight="1">
      <c r="A52" s="60">
        <v>4991.0</v>
      </c>
      <c r="B52" s="60">
        <v>18.12</v>
      </c>
      <c r="C52" s="60">
        <v>0.115965</v>
      </c>
      <c r="D52" s="60">
        <v>0.127859</v>
      </c>
      <c r="E52" s="60">
        <v>0.121912</v>
      </c>
      <c r="F52" s="54"/>
      <c r="G52" s="54"/>
      <c r="H52" s="54"/>
      <c r="I52" s="54"/>
      <c r="J52" s="54"/>
      <c r="K52" s="54"/>
      <c r="L52" s="54"/>
      <c r="M52" s="54"/>
      <c r="N52" s="54"/>
    </row>
    <row r="53" ht="22.5" customHeight="1">
      <c r="A53" s="60">
        <v>5071.0</v>
      </c>
      <c r="B53" s="60">
        <v>18.55</v>
      </c>
      <c r="C53" s="60">
        <v>0.116692</v>
      </c>
      <c r="D53" s="60">
        <v>0.12818</v>
      </c>
      <c r="E53" s="60">
        <v>0.122436</v>
      </c>
      <c r="F53" s="54"/>
      <c r="G53" s="54"/>
      <c r="H53" s="54"/>
      <c r="I53" s="54"/>
      <c r="J53" s="54"/>
      <c r="K53" s="54"/>
      <c r="L53" s="54"/>
      <c r="M53" s="54"/>
      <c r="N53" s="54"/>
    </row>
    <row r="54" ht="22.5" customHeight="1">
      <c r="A54" s="60">
        <v>5150.0</v>
      </c>
      <c r="B54" s="60">
        <v>18.98</v>
      </c>
      <c r="C54" s="60">
        <v>0.117214</v>
      </c>
      <c r="D54" s="60">
        <v>0.128168</v>
      </c>
      <c r="E54" s="60">
        <v>0.122691</v>
      </c>
      <c r="F54" s="54"/>
      <c r="G54" s="54"/>
      <c r="H54" s="54"/>
      <c r="I54" s="54"/>
      <c r="J54" s="54"/>
      <c r="K54" s="54"/>
      <c r="L54" s="54"/>
      <c r="M54" s="54"/>
      <c r="N54" s="54"/>
    </row>
    <row r="55" ht="22.5" customHeight="1">
      <c r="A55" s="60">
        <v>5195.0</v>
      </c>
      <c r="B55" s="60">
        <v>19.41</v>
      </c>
      <c r="C55" s="60">
        <v>0.118082</v>
      </c>
      <c r="D55" s="60">
        <v>0.128072</v>
      </c>
      <c r="E55" s="60">
        <v>0.123077</v>
      </c>
      <c r="F55" s="54"/>
      <c r="G55" s="54"/>
      <c r="H55" s="54"/>
      <c r="I55" s="54"/>
      <c r="J55" s="54"/>
      <c r="K55" s="54"/>
      <c r="L55" s="54"/>
      <c r="M55" s="54"/>
      <c r="N55" s="54"/>
    </row>
    <row r="56" ht="22.5" customHeight="1">
      <c r="A56" s="60">
        <v>5256.0</v>
      </c>
      <c r="B56" s="60">
        <v>19.85</v>
      </c>
      <c r="C56" s="60">
        <v>0.118077</v>
      </c>
      <c r="D56" s="60">
        <v>0.128172</v>
      </c>
      <c r="E56" s="60">
        <v>0.123124</v>
      </c>
      <c r="F56" s="54"/>
      <c r="G56" s="54"/>
      <c r="H56" s="54"/>
      <c r="I56" s="54"/>
      <c r="J56" s="54"/>
      <c r="K56" s="54"/>
      <c r="L56" s="54"/>
      <c r="M56" s="54"/>
      <c r="N56" s="54"/>
    </row>
    <row r="57" ht="22.5" customHeight="1">
      <c r="A57" s="60">
        <v>5297.0</v>
      </c>
      <c r="B57" s="60">
        <v>20.3</v>
      </c>
      <c r="C57" s="60">
        <v>0.118222</v>
      </c>
      <c r="D57" s="60">
        <v>0.1282</v>
      </c>
      <c r="E57" s="60">
        <v>0.123211</v>
      </c>
      <c r="F57" s="54"/>
      <c r="G57" s="54"/>
      <c r="H57" s="54"/>
      <c r="I57" s="54"/>
      <c r="J57" s="54"/>
      <c r="K57" s="54"/>
      <c r="L57" s="54"/>
      <c r="M57" s="54"/>
      <c r="N57" s="54"/>
    </row>
    <row r="58" ht="22.5" customHeight="1">
      <c r="A58" s="60">
        <v>5338.0</v>
      </c>
      <c r="B58" s="60">
        <v>20.74</v>
      </c>
      <c r="C58" s="60">
        <v>0.118209</v>
      </c>
      <c r="D58" s="60">
        <v>0.128297</v>
      </c>
      <c r="E58" s="60">
        <v>0.123253</v>
      </c>
      <c r="F58" s="54"/>
      <c r="G58" s="54"/>
      <c r="H58" s="54"/>
      <c r="I58" s="54"/>
      <c r="J58" s="54"/>
      <c r="K58" s="54"/>
      <c r="L58" s="54"/>
      <c r="M58" s="54"/>
      <c r="N58" s="54"/>
    </row>
    <row r="59" ht="22.5" customHeight="1">
      <c r="A59" s="60">
        <v>5401.0</v>
      </c>
      <c r="B59" s="60">
        <v>21.2</v>
      </c>
      <c r="C59" s="60">
        <v>0.118185</v>
      </c>
      <c r="D59" s="60">
        <v>0.128531</v>
      </c>
      <c r="E59" s="60">
        <v>0.123358</v>
      </c>
      <c r="F59" s="54"/>
      <c r="G59" s="54"/>
      <c r="H59" s="54"/>
      <c r="I59" s="54"/>
      <c r="J59" s="54"/>
      <c r="K59" s="54"/>
      <c r="L59" s="54"/>
      <c r="M59" s="54"/>
      <c r="N59" s="54"/>
    </row>
    <row r="60" ht="22.5" customHeight="1">
      <c r="A60" s="60">
        <v>5444.0</v>
      </c>
      <c r="B60" s="60">
        <v>21.65</v>
      </c>
      <c r="C60" s="60">
        <v>0.118854</v>
      </c>
      <c r="D60" s="60">
        <v>0.128469</v>
      </c>
      <c r="E60" s="60">
        <v>0.123661</v>
      </c>
      <c r="F60" s="54"/>
      <c r="G60" s="54"/>
      <c r="H60" s="54"/>
      <c r="I60" s="54"/>
      <c r="J60" s="54"/>
      <c r="K60" s="54"/>
      <c r="L60" s="54"/>
      <c r="M60" s="54"/>
      <c r="N60" s="54"/>
    </row>
    <row r="61" ht="22.5" customHeight="1">
      <c r="A61" s="60">
        <v>5531.0</v>
      </c>
      <c r="B61" s="60">
        <v>22.11</v>
      </c>
      <c r="C61" s="60">
        <v>0.118771</v>
      </c>
      <c r="D61" s="60">
        <v>0.128818</v>
      </c>
      <c r="E61" s="60">
        <v>0.123795</v>
      </c>
      <c r="F61" s="54"/>
      <c r="G61" s="54"/>
      <c r="H61" s="54"/>
      <c r="I61" s="54"/>
      <c r="J61" s="54"/>
      <c r="K61" s="54"/>
      <c r="L61" s="54"/>
      <c r="M61" s="54"/>
      <c r="N61" s="54"/>
    </row>
    <row r="62" ht="22.5" customHeight="1">
      <c r="A62" s="60">
        <v>5602.0</v>
      </c>
      <c r="B62" s="60">
        <v>22.57</v>
      </c>
      <c r="C62" s="60">
        <v>0.118974</v>
      </c>
      <c r="D62" s="60">
        <v>0.128835</v>
      </c>
      <c r="E62" s="60">
        <v>0.123904</v>
      </c>
      <c r="F62" s="54"/>
      <c r="G62" s="54"/>
      <c r="H62" s="54"/>
      <c r="I62" s="54"/>
      <c r="J62" s="54"/>
      <c r="K62" s="54"/>
      <c r="L62" s="54"/>
      <c r="M62" s="54"/>
      <c r="N62" s="54"/>
    </row>
    <row r="63" ht="22.5" customHeight="1">
      <c r="A63" s="60">
        <v>5689.0</v>
      </c>
      <c r="B63" s="60">
        <v>23.05</v>
      </c>
      <c r="C63" s="60">
        <v>0.11915</v>
      </c>
      <c r="D63" s="60">
        <v>0.129134</v>
      </c>
      <c r="E63" s="60">
        <v>0.124142</v>
      </c>
      <c r="F63" s="54"/>
      <c r="G63" s="54"/>
      <c r="H63" s="54"/>
      <c r="I63" s="54"/>
      <c r="J63" s="54"/>
      <c r="K63" s="54"/>
      <c r="L63" s="54"/>
      <c r="M63" s="54"/>
      <c r="N63" s="54"/>
    </row>
    <row r="64" ht="22.5" customHeight="1">
      <c r="A64" s="60">
        <v>5779.0</v>
      </c>
      <c r="B64" s="60">
        <v>23.53</v>
      </c>
      <c r="C64" s="60">
        <v>0.120093</v>
      </c>
      <c r="D64" s="60">
        <v>0.129109</v>
      </c>
      <c r="E64" s="60">
        <v>0.124601</v>
      </c>
      <c r="F64" s="54"/>
      <c r="G64" s="54"/>
      <c r="H64" s="54"/>
      <c r="I64" s="54"/>
      <c r="J64" s="54"/>
      <c r="K64" s="54"/>
      <c r="L64" s="54"/>
      <c r="M64" s="54"/>
      <c r="N64" s="54"/>
    </row>
    <row r="65" ht="22.5" customHeight="1">
      <c r="A65" s="60">
        <v>5857.0</v>
      </c>
      <c r="B65" s="60">
        <v>24.02</v>
      </c>
      <c r="C65" s="60">
        <v>0.120089</v>
      </c>
      <c r="D65" s="60">
        <v>0.129082</v>
      </c>
      <c r="E65" s="60">
        <v>0.124585</v>
      </c>
      <c r="F65" s="54"/>
      <c r="G65" s="54"/>
      <c r="H65" s="54"/>
      <c r="I65" s="54"/>
      <c r="J65" s="54"/>
      <c r="K65" s="54"/>
      <c r="L65" s="54"/>
      <c r="M65" s="54"/>
      <c r="N65" s="54"/>
    </row>
    <row r="66" ht="22.5" customHeight="1">
      <c r="A66" s="60">
        <v>5902.0</v>
      </c>
      <c r="B66" s="60">
        <v>24.51</v>
      </c>
      <c r="C66" s="60">
        <v>0.1205</v>
      </c>
      <c r="D66" s="60">
        <v>0.129155</v>
      </c>
      <c r="E66" s="60">
        <v>0.124827</v>
      </c>
      <c r="F66" s="54"/>
      <c r="G66" s="54"/>
      <c r="H66" s="54"/>
      <c r="I66" s="54"/>
      <c r="J66" s="54"/>
      <c r="K66" s="54"/>
      <c r="L66" s="54"/>
      <c r="M66" s="54"/>
      <c r="N66" s="54"/>
    </row>
    <row r="67" ht="22.5" customHeight="1">
      <c r="A67" s="60">
        <v>5948.0</v>
      </c>
      <c r="B67" s="60">
        <v>25.0</v>
      </c>
      <c r="C67" s="60">
        <v>0.120656</v>
      </c>
      <c r="D67" s="60">
        <v>0.129082</v>
      </c>
      <c r="E67" s="60">
        <v>0.124869</v>
      </c>
      <c r="F67" s="54"/>
      <c r="G67" s="54"/>
      <c r="H67" s="54"/>
      <c r="I67" s="54"/>
      <c r="J67" s="54"/>
      <c r="K67" s="54"/>
      <c r="L67" s="54"/>
      <c r="M67" s="54"/>
      <c r="N67" s="54"/>
    </row>
    <row r="68" ht="22.5" customHeight="1">
      <c r="A68" s="60">
        <v>5989.0</v>
      </c>
      <c r="B68" s="60">
        <v>25.5</v>
      </c>
      <c r="C68" s="60">
        <v>0.120725</v>
      </c>
      <c r="D68" s="60">
        <v>0.129032</v>
      </c>
      <c r="E68" s="60">
        <v>0.124879</v>
      </c>
      <c r="F68" s="54"/>
      <c r="G68" s="54"/>
      <c r="H68" s="54"/>
      <c r="I68" s="54"/>
      <c r="J68" s="54"/>
      <c r="K68" s="54"/>
      <c r="L68" s="54"/>
      <c r="M68" s="54"/>
      <c r="N68" s="54"/>
    </row>
    <row r="69" ht="22.5" customHeight="1">
      <c r="A69" s="60">
        <v>6032.0</v>
      </c>
      <c r="B69" s="60">
        <v>26.0</v>
      </c>
      <c r="C69" s="60">
        <v>0.120862</v>
      </c>
      <c r="D69" s="60">
        <v>0.128913</v>
      </c>
      <c r="E69" s="60">
        <v>0.124888</v>
      </c>
      <c r="F69" s="54"/>
      <c r="G69" s="54"/>
      <c r="H69" s="54"/>
      <c r="I69" s="54"/>
      <c r="J69" s="54"/>
      <c r="K69" s="54"/>
      <c r="L69" s="54"/>
      <c r="M69" s="54"/>
      <c r="N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</row>
    <row r="72">
      <c r="C72" s="33" t="s">
        <v>44</v>
      </c>
      <c r="D72" s="33">
        <v>0.124638</v>
      </c>
    </row>
    <row r="73">
      <c r="A73" s="34"/>
      <c r="B73" s="34"/>
      <c r="C73" s="34"/>
      <c r="D73" s="34"/>
    </row>
    <row r="74" ht="22.5" customHeight="1">
      <c r="A74" s="4" t="s">
        <v>45</v>
      </c>
      <c r="B74" s="4" t="s">
        <v>46</v>
      </c>
      <c r="C74" s="4" t="s">
        <v>47</v>
      </c>
      <c r="D74" s="29" t="s">
        <v>48</v>
      </c>
      <c r="E74" s="29" t="s">
        <v>49</v>
      </c>
      <c r="F74" s="4" t="s">
        <v>39</v>
      </c>
      <c r="G74" s="4" t="s">
        <v>50</v>
      </c>
    </row>
    <row r="75" ht="22.5" customHeight="1">
      <c r="A75" s="35">
        <v>1.0</v>
      </c>
      <c r="B75" s="35">
        <v>6198.0</v>
      </c>
      <c r="C75" s="6">
        <v>0.119874</v>
      </c>
      <c r="D75" s="36">
        <f t="shared" ref="D75:D82" si="1">abs(C75-D$72)^2</f>
        <v>0.000022695696</v>
      </c>
      <c r="E75" s="36">
        <f t="shared" ref="E75:E82" si="2">ABS(C75-C$83/8)^2</f>
        <v>0.00001669743906</v>
      </c>
      <c r="F75" s="37">
        <v>22.35</v>
      </c>
      <c r="G75" s="55">
        <f t="shared" ref="G75:G82" si="3">ABS(C75-D$72)/D$72</f>
        <v>0.03822269292</v>
      </c>
    </row>
    <row r="76" ht="22.5" customHeight="1">
      <c r="A76" s="35">
        <v>2.0</v>
      </c>
      <c r="B76" s="35">
        <v>7573.0</v>
      </c>
      <c r="C76" s="6">
        <v>0.124379</v>
      </c>
      <c r="D76" s="36">
        <f t="shared" si="1"/>
        <v>0.000000067081</v>
      </c>
      <c r="E76" s="36">
        <f t="shared" si="2"/>
        <v>0.0000001753515625</v>
      </c>
      <c r="F76" s="37">
        <v>33.08</v>
      </c>
      <c r="G76" s="55">
        <f t="shared" si="3"/>
        <v>0.00207801794</v>
      </c>
    </row>
    <row r="77" ht="22.5" customHeight="1">
      <c r="A77" s="35">
        <v>3.0</v>
      </c>
      <c r="B77" s="35">
        <v>8685.0</v>
      </c>
      <c r="C77" s="6">
        <v>0.12861</v>
      </c>
      <c r="D77" s="36">
        <f t="shared" si="1"/>
        <v>0.000015776784</v>
      </c>
      <c r="E77" s="36">
        <f t="shared" si="2"/>
        <v>0.00002162017506</v>
      </c>
      <c r="F77" s="37">
        <v>43.81</v>
      </c>
      <c r="G77" s="55">
        <f t="shared" si="3"/>
        <v>0.03186829057</v>
      </c>
    </row>
    <row r="78" ht="22.5" customHeight="1">
      <c r="A78" s="35">
        <v>4.0</v>
      </c>
      <c r="B78" s="35">
        <v>6624.0</v>
      </c>
      <c r="C78" s="6">
        <v>0.119527</v>
      </c>
      <c r="D78" s="36">
        <f t="shared" si="1"/>
        <v>0.000026122321</v>
      </c>
      <c r="E78" s="36">
        <f t="shared" si="2"/>
        <v>0.00001965370556</v>
      </c>
      <c r="F78" s="37">
        <v>27.83</v>
      </c>
      <c r="G78" s="55">
        <f t="shared" si="3"/>
        <v>0.04100675556</v>
      </c>
    </row>
    <row r="79" ht="22.5" customHeight="1">
      <c r="A79" s="35">
        <v>5.0</v>
      </c>
      <c r="B79" s="35">
        <v>7944.0</v>
      </c>
      <c r="C79" s="6">
        <v>0.126386</v>
      </c>
      <c r="D79" s="36">
        <f t="shared" si="1"/>
        <v>0.000003055504</v>
      </c>
      <c r="E79" s="36">
        <f t="shared" si="2"/>
        <v>0.000005884263062</v>
      </c>
      <c r="F79" s="37">
        <v>36.04</v>
      </c>
      <c r="G79" s="55">
        <f t="shared" si="3"/>
        <v>0.01402461529</v>
      </c>
    </row>
    <row r="80" ht="22.5" customHeight="1">
      <c r="A80" s="35">
        <v>6.0</v>
      </c>
      <c r="B80" s="35">
        <v>7242.0</v>
      </c>
      <c r="C80" s="6">
        <v>0.125118</v>
      </c>
      <c r="D80" s="36">
        <f t="shared" si="1"/>
        <v>0.0000002304</v>
      </c>
      <c r="E80" s="36">
        <f t="shared" si="2"/>
        <v>0.000001340385063</v>
      </c>
      <c r="F80" s="37">
        <v>31.24</v>
      </c>
      <c r="G80" s="55">
        <f t="shared" si="3"/>
        <v>0.003851152939</v>
      </c>
    </row>
    <row r="81" ht="22.5" customHeight="1">
      <c r="A81" s="35">
        <v>7.0</v>
      </c>
      <c r="B81" s="60">
        <v>6032.0</v>
      </c>
      <c r="C81" s="61">
        <v>0.124888</v>
      </c>
      <c r="D81" s="36">
        <f t="shared" si="1"/>
        <v>0.0000000625</v>
      </c>
      <c r="E81" s="36">
        <f t="shared" si="2"/>
        <v>0.0000008607200625</v>
      </c>
      <c r="F81" s="60">
        <v>26.0</v>
      </c>
      <c r="G81" s="55">
        <f t="shared" si="3"/>
        <v>0.002005808822</v>
      </c>
    </row>
    <row r="82" ht="22.5" customHeight="1">
      <c r="A82" s="35">
        <v>8.0</v>
      </c>
      <c r="B82" s="35">
        <v>6412.0</v>
      </c>
      <c r="C82" s="6">
        <v>0.1229</v>
      </c>
      <c r="D82" s="36">
        <f t="shared" si="1"/>
        <v>0.000003020644</v>
      </c>
      <c r="E82" s="36">
        <f t="shared" si="2"/>
        <v>0.000001124130063</v>
      </c>
      <c r="F82" s="37">
        <v>25.42</v>
      </c>
      <c r="G82" s="55">
        <f t="shared" si="3"/>
        <v>0.01394438293</v>
      </c>
    </row>
    <row r="83" ht="22.5" customHeight="1">
      <c r="A83" s="62" t="s">
        <v>53</v>
      </c>
      <c r="B83" s="62">
        <f t="shared" ref="B83:G83" si="4">SUM(B75:B82)</f>
        <v>56710</v>
      </c>
      <c r="C83" s="63">
        <f t="shared" si="4"/>
        <v>0.991682</v>
      </c>
      <c r="D83" s="62">
        <f t="shared" si="4"/>
        <v>0.00007103093</v>
      </c>
      <c r="E83" s="62">
        <f t="shared" si="4"/>
        <v>0.0000673561695</v>
      </c>
      <c r="F83" s="62">
        <f t="shared" si="4"/>
        <v>245.77</v>
      </c>
      <c r="G83" s="62">
        <f t="shared" si="4"/>
        <v>0.147001717</v>
      </c>
    </row>
  </sheetData>
  <dataValidations>
    <dataValidation type="custom" allowBlank="1" showDropDown="1" sqref="A75:C83 G75:G83">
      <formula1>AND(ISNUMBER(A75),(NOT(OR(NOT(ISERROR(DATEVALUE(A75))), AND(ISNUMBER(A75), LEFT(CELL("format", A75))="D")))))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13"/>
    <col customWidth="1" min="3" max="3" width="23.0"/>
    <col customWidth="1" min="4" max="4" width="22.63"/>
    <col customWidth="1" min="5" max="5" width="23.5"/>
    <col customWidth="1" min="7" max="7" width="18.5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45">
        <v>578.0</v>
      </c>
      <c r="B2" s="45">
        <v>2.35</v>
      </c>
      <c r="C2" s="45">
        <v>0.007439</v>
      </c>
      <c r="D2" s="45">
        <v>0.008755</v>
      </c>
      <c r="E2" s="45">
        <v>0.008097</v>
      </c>
    </row>
    <row r="3" ht="22.5" customHeight="1">
      <c r="A3" s="45">
        <v>927.0</v>
      </c>
      <c r="B3" s="45">
        <v>2.46</v>
      </c>
      <c r="C3" s="45">
        <v>0.022406</v>
      </c>
      <c r="D3" s="45">
        <v>0.017728</v>
      </c>
      <c r="E3" s="45">
        <v>0.020067</v>
      </c>
    </row>
    <row r="4" ht="22.5" customHeight="1">
      <c r="A4" s="45">
        <v>1160.0</v>
      </c>
      <c r="B4" s="45">
        <v>2.58</v>
      </c>
      <c r="C4" s="45">
        <v>0.026366</v>
      </c>
      <c r="D4" s="45">
        <v>0.020729</v>
      </c>
      <c r="E4" s="45">
        <v>0.023547</v>
      </c>
    </row>
    <row r="5" ht="22.5" customHeight="1">
      <c r="A5" s="45">
        <v>1216.0</v>
      </c>
      <c r="B5" s="45">
        <v>2.71</v>
      </c>
      <c r="C5" s="45">
        <v>0.026543</v>
      </c>
      <c r="D5" s="45">
        <v>0.021978</v>
      </c>
      <c r="E5" s="45">
        <v>0.02426</v>
      </c>
    </row>
    <row r="6" ht="22.5" customHeight="1">
      <c r="A6" s="45">
        <v>1318.0</v>
      </c>
      <c r="B6" s="45">
        <v>2.83</v>
      </c>
      <c r="C6" s="45">
        <v>0.032074</v>
      </c>
      <c r="D6" s="45">
        <v>0.024572</v>
      </c>
      <c r="E6" s="45">
        <v>0.028323</v>
      </c>
    </row>
    <row r="7" ht="22.5" customHeight="1">
      <c r="A7" s="45">
        <v>1486.0</v>
      </c>
      <c r="B7" s="45">
        <v>2.97</v>
      </c>
      <c r="C7" s="45">
        <v>0.040835</v>
      </c>
      <c r="D7" s="45">
        <v>0.027679</v>
      </c>
      <c r="E7" s="45">
        <v>0.034257</v>
      </c>
    </row>
    <row r="8" ht="22.5" customHeight="1">
      <c r="A8" s="45">
        <v>1561.0</v>
      </c>
      <c r="B8" s="45">
        <v>3.1</v>
      </c>
      <c r="C8" s="45">
        <v>0.042248</v>
      </c>
      <c r="D8" s="45">
        <v>0.03352</v>
      </c>
      <c r="E8" s="45">
        <v>0.037884</v>
      </c>
    </row>
    <row r="9" ht="22.5" customHeight="1">
      <c r="A9" s="45">
        <v>1603.0</v>
      </c>
      <c r="B9" s="45">
        <v>3.25</v>
      </c>
      <c r="C9" s="45">
        <v>0.042888</v>
      </c>
      <c r="D9" s="45">
        <v>0.033563</v>
      </c>
      <c r="E9" s="45">
        <v>0.038226</v>
      </c>
    </row>
    <row r="10" ht="22.5" customHeight="1">
      <c r="A10" s="45">
        <v>1705.0</v>
      </c>
      <c r="B10" s="45">
        <v>3.39</v>
      </c>
      <c r="C10" s="45">
        <v>0.04524</v>
      </c>
      <c r="D10" s="45">
        <v>0.036548</v>
      </c>
      <c r="E10" s="45">
        <v>0.040894</v>
      </c>
    </row>
    <row r="11" ht="22.5" customHeight="1">
      <c r="A11" s="45">
        <v>1819.0</v>
      </c>
      <c r="B11" s="45">
        <v>3.55</v>
      </c>
      <c r="C11" s="45">
        <v>0.050071</v>
      </c>
      <c r="D11" s="45">
        <v>0.037724</v>
      </c>
      <c r="E11" s="45">
        <v>0.043898</v>
      </c>
    </row>
    <row r="12" ht="22.5" customHeight="1">
      <c r="A12" s="45">
        <v>1873.0</v>
      </c>
      <c r="B12" s="45">
        <v>3.7</v>
      </c>
      <c r="C12" s="45">
        <v>0.051476</v>
      </c>
      <c r="D12" s="45">
        <v>0.037966</v>
      </c>
      <c r="E12" s="45">
        <v>0.044721</v>
      </c>
    </row>
    <row r="13" ht="22.5" customHeight="1">
      <c r="A13" s="45">
        <v>1970.0</v>
      </c>
      <c r="B13" s="45">
        <v>3.86</v>
      </c>
      <c r="C13" s="45">
        <v>0.060757</v>
      </c>
      <c r="D13" s="45">
        <v>0.041027</v>
      </c>
      <c r="E13" s="45">
        <v>0.050892</v>
      </c>
    </row>
    <row r="14" ht="22.5" customHeight="1">
      <c r="A14" s="45">
        <v>2051.0</v>
      </c>
      <c r="B14" s="45">
        <v>4.03</v>
      </c>
      <c r="C14" s="45">
        <v>0.060532</v>
      </c>
      <c r="D14" s="45">
        <v>0.042154</v>
      </c>
      <c r="E14" s="45">
        <v>0.051343</v>
      </c>
    </row>
    <row r="15" ht="22.5" customHeight="1">
      <c r="A15" s="45">
        <v>2102.0</v>
      </c>
      <c r="B15" s="45">
        <v>4.2</v>
      </c>
      <c r="C15" s="45">
        <v>0.064053</v>
      </c>
      <c r="D15" s="45">
        <v>0.060109</v>
      </c>
      <c r="E15" s="45">
        <v>0.062081</v>
      </c>
    </row>
    <row r="16" ht="22.5" customHeight="1">
      <c r="A16" s="45">
        <v>2202.0</v>
      </c>
      <c r="B16" s="45">
        <v>4.38</v>
      </c>
      <c r="C16" s="45">
        <v>0.065213</v>
      </c>
      <c r="D16" s="45">
        <v>0.061521</v>
      </c>
      <c r="E16" s="45">
        <v>0.063367</v>
      </c>
    </row>
    <row r="17" ht="22.5" customHeight="1">
      <c r="A17" s="45">
        <v>2266.0</v>
      </c>
      <c r="B17" s="45">
        <v>4.56</v>
      </c>
      <c r="C17" s="45">
        <v>0.065725</v>
      </c>
      <c r="D17" s="45">
        <v>0.061916</v>
      </c>
      <c r="E17" s="45">
        <v>0.06382</v>
      </c>
    </row>
    <row r="18" ht="22.5" customHeight="1">
      <c r="A18" s="45">
        <v>2327.0</v>
      </c>
      <c r="B18" s="45">
        <v>4.74</v>
      </c>
      <c r="C18" s="45">
        <v>0.066443</v>
      </c>
      <c r="D18" s="45">
        <v>0.062955</v>
      </c>
      <c r="E18" s="45">
        <v>0.064699</v>
      </c>
    </row>
    <row r="19" ht="22.5" customHeight="1">
      <c r="A19" s="45">
        <v>2386.0</v>
      </c>
      <c r="B19" s="45">
        <v>4.93</v>
      </c>
      <c r="C19" s="45">
        <v>0.067863</v>
      </c>
      <c r="D19" s="45">
        <v>0.06999</v>
      </c>
      <c r="E19" s="45">
        <v>0.068926</v>
      </c>
    </row>
    <row r="20" ht="22.5" customHeight="1">
      <c r="A20" s="45">
        <v>2488.0</v>
      </c>
      <c r="B20" s="45">
        <v>5.13</v>
      </c>
      <c r="C20" s="45">
        <v>0.067981</v>
      </c>
      <c r="D20" s="45">
        <v>0.0722</v>
      </c>
      <c r="E20" s="45">
        <v>0.07009</v>
      </c>
    </row>
    <row r="21" ht="22.5" customHeight="1">
      <c r="A21" s="45">
        <v>2534.0</v>
      </c>
      <c r="B21" s="45">
        <v>5.32</v>
      </c>
      <c r="C21" s="45">
        <v>0.06877</v>
      </c>
      <c r="D21" s="45">
        <v>0.073729</v>
      </c>
      <c r="E21" s="45">
        <v>0.071249</v>
      </c>
    </row>
    <row r="22" ht="22.5" customHeight="1">
      <c r="A22" s="45">
        <v>2598.0</v>
      </c>
      <c r="B22" s="45">
        <v>5.52</v>
      </c>
      <c r="C22" s="45">
        <v>0.069618</v>
      </c>
      <c r="D22" s="45">
        <v>0.073992</v>
      </c>
      <c r="E22" s="45">
        <v>0.071805</v>
      </c>
    </row>
    <row r="23" ht="22.5" customHeight="1">
      <c r="A23" s="45">
        <v>2681.0</v>
      </c>
      <c r="B23" s="45">
        <v>5.74</v>
      </c>
      <c r="C23" s="45">
        <v>0.068711</v>
      </c>
      <c r="D23" s="45">
        <v>0.076934</v>
      </c>
      <c r="E23" s="45">
        <v>0.072822</v>
      </c>
    </row>
    <row r="24" ht="22.5" customHeight="1">
      <c r="A24" s="45">
        <v>2751.0</v>
      </c>
      <c r="B24" s="45">
        <v>5.95</v>
      </c>
      <c r="C24" s="45">
        <v>0.070406</v>
      </c>
      <c r="D24" s="45">
        <v>0.083646</v>
      </c>
      <c r="E24" s="45">
        <v>0.077026</v>
      </c>
    </row>
    <row r="25" ht="22.5" customHeight="1">
      <c r="A25" s="45">
        <v>2850.0</v>
      </c>
      <c r="B25" s="45">
        <v>6.18</v>
      </c>
      <c r="C25" s="45">
        <v>0.072987</v>
      </c>
      <c r="D25" s="45">
        <v>0.084051</v>
      </c>
      <c r="E25" s="45">
        <v>0.078519</v>
      </c>
    </row>
    <row r="26" ht="22.5" customHeight="1">
      <c r="A26" s="45">
        <v>2915.0</v>
      </c>
      <c r="B26" s="45">
        <v>6.41</v>
      </c>
      <c r="C26" s="45">
        <v>0.074379</v>
      </c>
      <c r="D26" s="45">
        <v>0.084059</v>
      </c>
      <c r="E26" s="45">
        <v>0.079219</v>
      </c>
    </row>
    <row r="27" ht="22.5" customHeight="1">
      <c r="A27" s="45">
        <v>2991.0</v>
      </c>
      <c r="B27" s="45">
        <v>6.65</v>
      </c>
      <c r="C27" s="45">
        <v>0.077539</v>
      </c>
      <c r="D27" s="45">
        <v>0.083724</v>
      </c>
      <c r="E27" s="45">
        <v>0.080632</v>
      </c>
    </row>
    <row r="28" ht="22.5" customHeight="1">
      <c r="A28" s="45">
        <v>3048.0</v>
      </c>
      <c r="B28" s="45">
        <v>6.88</v>
      </c>
      <c r="C28" s="45">
        <v>0.079226</v>
      </c>
      <c r="D28" s="45">
        <v>0.083656</v>
      </c>
      <c r="E28" s="45">
        <v>0.081441</v>
      </c>
    </row>
    <row r="29" ht="22.5" customHeight="1">
      <c r="A29" s="45">
        <v>3129.0</v>
      </c>
      <c r="B29" s="45">
        <v>7.13</v>
      </c>
      <c r="C29" s="45">
        <v>0.081158</v>
      </c>
      <c r="D29" s="45">
        <v>0.10478</v>
      </c>
      <c r="E29" s="45">
        <v>0.092969</v>
      </c>
    </row>
    <row r="30" ht="22.5" customHeight="1">
      <c r="A30" s="45">
        <v>3194.0</v>
      </c>
      <c r="B30" s="45">
        <v>7.39</v>
      </c>
      <c r="C30" s="45">
        <v>0.083822</v>
      </c>
      <c r="D30" s="45">
        <v>0.103811</v>
      </c>
      <c r="E30" s="45">
        <v>0.093816</v>
      </c>
    </row>
    <row r="31" ht="22.5" customHeight="1">
      <c r="A31" s="45">
        <v>3253.0</v>
      </c>
      <c r="B31" s="45">
        <v>7.65</v>
      </c>
      <c r="C31" s="45">
        <v>0.085738</v>
      </c>
      <c r="D31" s="45">
        <v>0.110963</v>
      </c>
      <c r="E31" s="45">
        <v>0.09835</v>
      </c>
    </row>
    <row r="32" ht="22.5" customHeight="1">
      <c r="A32" s="45">
        <v>3335.0</v>
      </c>
      <c r="B32" s="45">
        <v>7.91</v>
      </c>
      <c r="C32" s="45">
        <v>0.088001</v>
      </c>
      <c r="D32" s="45">
        <v>0.111491</v>
      </c>
      <c r="E32" s="45">
        <v>0.099746</v>
      </c>
    </row>
    <row r="33" ht="22.5" customHeight="1">
      <c r="A33" s="45">
        <v>3381.0</v>
      </c>
      <c r="B33" s="45">
        <v>8.17</v>
      </c>
      <c r="C33" s="45">
        <v>0.088908</v>
      </c>
      <c r="D33" s="45">
        <v>0.11253</v>
      </c>
      <c r="E33" s="45">
        <v>0.100719</v>
      </c>
    </row>
    <row r="34" ht="22.5" customHeight="1">
      <c r="A34" s="45">
        <v>3441.0</v>
      </c>
      <c r="B34" s="45">
        <v>8.44</v>
      </c>
      <c r="C34" s="45">
        <v>0.09019</v>
      </c>
      <c r="D34" s="45">
        <v>0.113532</v>
      </c>
      <c r="E34" s="45">
        <v>0.101861</v>
      </c>
    </row>
    <row r="35" ht="22.5" customHeight="1">
      <c r="A35" s="45">
        <v>3548.0</v>
      </c>
      <c r="B35" s="45">
        <v>8.72</v>
      </c>
      <c r="C35" s="45">
        <v>0.096761</v>
      </c>
      <c r="D35" s="45">
        <v>0.114138</v>
      </c>
      <c r="E35" s="45">
        <v>0.105449</v>
      </c>
    </row>
    <row r="36" ht="22.5" customHeight="1">
      <c r="A36" s="45">
        <v>3610.0</v>
      </c>
      <c r="B36" s="45">
        <v>9.05</v>
      </c>
      <c r="C36" s="45">
        <v>0.097417</v>
      </c>
      <c r="D36" s="45">
        <v>0.113967</v>
      </c>
      <c r="E36" s="45">
        <v>0.105692</v>
      </c>
    </row>
    <row r="37" ht="22.5" customHeight="1">
      <c r="A37" s="45">
        <v>3692.0</v>
      </c>
      <c r="B37" s="45">
        <v>9.36</v>
      </c>
      <c r="C37" s="45">
        <v>0.100649</v>
      </c>
      <c r="D37" s="45">
        <v>0.113428</v>
      </c>
      <c r="E37" s="45">
        <v>0.107039</v>
      </c>
    </row>
    <row r="38" ht="22.5" customHeight="1">
      <c r="A38" s="45">
        <v>3791.0</v>
      </c>
      <c r="B38" s="45">
        <v>9.68</v>
      </c>
      <c r="C38" s="45">
        <v>0.101477</v>
      </c>
      <c r="D38" s="45">
        <v>0.112821</v>
      </c>
      <c r="E38" s="45">
        <v>0.107149</v>
      </c>
    </row>
    <row r="39" ht="22.5" customHeight="1">
      <c r="A39" s="45">
        <v>3847.0</v>
      </c>
      <c r="B39" s="45">
        <v>9.98</v>
      </c>
      <c r="C39" s="45">
        <v>0.101428</v>
      </c>
      <c r="D39" s="45">
        <v>0.113372</v>
      </c>
      <c r="E39" s="45">
        <v>0.1074</v>
      </c>
    </row>
    <row r="40" ht="22.5" customHeight="1">
      <c r="A40" s="45">
        <v>3933.0</v>
      </c>
      <c r="B40" s="45">
        <v>10.3</v>
      </c>
      <c r="C40" s="45">
        <v>0.10649</v>
      </c>
      <c r="D40" s="45">
        <v>0.11179</v>
      </c>
      <c r="E40" s="45">
        <v>0.10914</v>
      </c>
    </row>
    <row r="41" ht="22.5" customHeight="1">
      <c r="A41" s="45">
        <v>4011.0</v>
      </c>
      <c r="B41" s="45">
        <v>10.61</v>
      </c>
      <c r="C41" s="45">
        <v>0.108233</v>
      </c>
      <c r="D41" s="45">
        <v>0.112005</v>
      </c>
      <c r="E41" s="45">
        <v>0.110119</v>
      </c>
    </row>
    <row r="42" ht="22.5" customHeight="1">
      <c r="A42" s="45">
        <v>4103.0</v>
      </c>
      <c r="B42" s="45">
        <v>10.93</v>
      </c>
      <c r="C42" s="45">
        <v>0.109521</v>
      </c>
      <c r="D42" s="45">
        <v>0.111669</v>
      </c>
      <c r="E42" s="45">
        <v>0.110595</v>
      </c>
    </row>
    <row r="43" ht="22.5" customHeight="1">
      <c r="A43" s="45">
        <v>4175.0</v>
      </c>
      <c r="B43" s="45">
        <v>11.37</v>
      </c>
      <c r="C43" s="45">
        <v>0.110726</v>
      </c>
      <c r="D43" s="45">
        <v>0.111525</v>
      </c>
      <c r="E43" s="45">
        <v>0.111125</v>
      </c>
    </row>
    <row r="44" ht="22.5" customHeight="1">
      <c r="A44" s="45">
        <v>4253.0</v>
      </c>
      <c r="B44" s="45">
        <v>11.7</v>
      </c>
      <c r="C44" s="45">
        <v>0.113214</v>
      </c>
      <c r="D44" s="45">
        <v>0.111617</v>
      </c>
      <c r="E44" s="45">
        <v>0.112416</v>
      </c>
    </row>
    <row r="45" ht="22.5" customHeight="1">
      <c r="A45" s="45">
        <v>4312.0</v>
      </c>
      <c r="B45" s="45">
        <v>12.05</v>
      </c>
      <c r="C45" s="45">
        <v>0.114652</v>
      </c>
      <c r="D45" s="45">
        <v>0.112768</v>
      </c>
      <c r="E45" s="45">
        <v>0.11371</v>
      </c>
    </row>
    <row r="46" ht="22.5" customHeight="1">
      <c r="A46" s="45">
        <v>4378.0</v>
      </c>
      <c r="B46" s="45">
        <v>12.4</v>
      </c>
      <c r="C46" s="45">
        <v>0.114969</v>
      </c>
      <c r="D46" s="45">
        <v>0.113708</v>
      </c>
      <c r="E46" s="45">
        <v>0.114338</v>
      </c>
    </row>
    <row r="47" ht="22.5" customHeight="1">
      <c r="A47" s="45">
        <v>4428.0</v>
      </c>
      <c r="B47" s="45">
        <v>12.76</v>
      </c>
      <c r="C47" s="45">
        <v>0.115289</v>
      </c>
      <c r="D47" s="45">
        <v>0.113619</v>
      </c>
      <c r="E47" s="45">
        <v>0.114454</v>
      </c>
    </row>
    <row r="48" ht="22.5" customHeight="1">
      <c r="A48" s="45">
        <v>4481.0</v>
      </c>
      <c r="B48" s="45">
        <v>13.12</v>
      </c>
      <c r="C48" s="45">
        <v>0.115771</v>
      </c>
      <c r="D48" s="45">
        <v>0.113978</v>
      </c>
      <c r="E48" s="45">
        <v>0.114874</v>
      </c>
    </row>
    <row r="49" ht="22.5" customHeight="1">
      <c r="A49" s="45">
        <v>4538.0</v>
      </c>
      <c r="B49" s="45">
        <v>13.49</v>
      </c>
      <c r="C49" s="45">
        <v>0.115771</v>
      </c>
      <c r="D49" s="45">
        <v>0.113978</v>
      </c>
      <c r="E49" s="45">
        <v>0.114874</v>
      </c>
    </row>
    <row r="50" ht="22.5" customHeight="1">
      <c r="A50" s="45">
        <v>4606.0</v>
      </c>
      <c r="B50" s="45">
        <v>13.85</v>
      </c>
      <c r="C50" s="45">
        <v>0.115728</v>
      </c>
      <c r="D50" s="45">
        <v>0.114102</v>
      </c>
      <c r="E50" s="45">
        <v>0.114915</v>
      </c>
    </row>
    <row r="51" ht="22.5" customHeight="1">
      <c r="A51" s="45">
        <v>4666.0</v>
      </c>
      <c r="B51" s="45">
        <v>14.22</v>
      </c>
      <c r="C51" s="45">
        <v>0.116699</v>
      </c>
      <c r="D51" s="45">
        <v>0.114314</v>
      </c>
      <c r="E51" s="45">
        <v>0.115506</v>
      </c>
    </row>
    <row r="52" ht="22.5" customHeight="1">
      <c r="A52" s="45">
        <v>4743.0</v>
      </c>
      <c r="B52" s="45">
        <v>14.6</v>
      </c>
      <c r="C52" s="45">
        <v>0.118015</v>
      </c>
      <c r="D52" s="45">
        <v>0.114286</v>
      </c>
      <c r="E52" s="45">
        <v>0.116151</v>
      </c>
    </row>
    <row r="53" ht="22.5" customHeight="1">
      <c r="A53" s="45">
        <v>4795.0</v>
      </c>
      <c r="B53" s="45">
        <v>14.98</v>
      </c>
      <c r="C53" s="45">
        <v>0.118382</v>
      </c>
      <c r="D53" s="45">
        <v>0.114108</v>
      </c>
      <c r="E53" s="45">
        <v>0.116245</v>
      </c>
    </row>
    <row r="54" ht="22.5" customHeight="1">
      <c r="A54" s="45">
        <v>4850.0</v>
      </c>
      <c r="B54" s="45">
        <v>15.38</v>
      </c>
      <c r="C54" s="45">
        <v>0.118647</v>
      </c>
      <c r="D54" s="45">
        <v>0.114108</v>
      </c>
      <c r="E54" s="45">
        <v>0.116377</v>
      </c>
    </row>
    <row r="55" ht="22.5" customHeight="1">
      <c r="A55" s="45">
        <v>4903.0</v>
      </c>
      <c r="B55" s="45">
        <v>15.85</v>
      </c>
      <c r="C55" s="45">
        <v>0.118759</v>
      </c>
      <c r="D55" s="45">
        <v>0.11441</v>
      </c>
      <c r="E55" s="45">
        <v>0.116584</v>
      </c>
    </row>
    <row r="56" ht="22.5" customHeight="1">
      <c r="A56" s="45">
        <v>4988.0</v>
      </c>
      <c r="B56" s="45">
        <v>16.3</v>
      </c>
      <c r="C56" s="45">
        <v>0.119326</v>
      </c>
      <c r="D56" s="45">
        <v>0.114593</v>
      </c>
      <c r="E56" s="45">
        <v>0.11696</v>
      </c>
    </row>
    <row r="57" ht="22.5" customHeight="1">
      <c r="A57" s="45">
        <v>5045.0</v>
      </c>
      <c r="B57" s="45">
        <v>16.72</v>
      </c>
      <c r="C57" s="45">
        <v>0.119507</v>
      </c>
      <c r="D57" s="45">
        <v>0.115243</v>
      </c>
      <c r="E57" s="45">
        <v>0.117375</v>
      </c>
    </row>
    <row r="58" ht="22.5" customHeight="1">
      <c r="A58" s="45">
        <v>5089.0</v>
      </c>
      <c r="B58" s="45">
        <v>17.14</v>
      </c>
      <c r="C58" s="45">
        <v>0.120257</v>
      </c>
      <c r="D58" s="45">
        <v>0.11511</v>
      </c>
      <c r="E58" s="45">
        <v>0.117683</v>
      </c>
    </row>
    <row r="59" ht="22.5" customHeight="1">
      <c r="A59" s="45">
        <v>5156.0</v>
      </c>
      <c r="B59" s="45">
        <v>17.55</v>
      </c>
      <c r="C59" s="45">
        <v>0.120573</v>
      </c>
      <c r="D59" s="45">
        <v>0.115063</v>
      </c>
      <c r="E59" s="45">
        <v>0.117818</v>
      </c>
    </row>
    <row r="60" ht="22.5" customHeight="1">
      <c r="A60" s="45">
        <v>5227.0</v>
      </c>
      <c r="B60" s="45">
        <v>17.97</v>
      </c>
      <c r="C60" s="45">
        <v>0.122315</v>
      </c>
      <c r="D60" s="45">
        <v>0.115982</v>
      </c>
      <c r="E60" s="45">
        <v>0.119148</v>
      </c>
    </row>
    <row r="61" ht="22.5" customHeight="1">
      <c r="A61" s="45">
        <v>5285.0</v>
      </c>
      <c r="B61" s="45">
        <v>18.41</v>
      </c>
      <c r="C61" s="45">
        <v>0.122718</v>
      </c>
      <c r="D61" s="45">
        <v>0.115945</v>
      </c>
      <c r="E61" s="45">
        <v>0.119331</v>
      </c>
    </row>
    <row r="62" ht="22.5" customHeight="1">
      <c r="A62" s="45">
        <v>5346.0</v>
      </c>
      <c r="B62" s="45">
        <v>18.83</v>
      </c>
      <c r="C62" s="45">
        <v>0.123048</v>
      </c>
      <c r="D62" s="45">
        <v>0.115875</v>
      </c>
      <c r="E62" s="45">
        <v>0.119462</v>
      </c>
    </row>
    <row r="63" ht="22.5" customHeight="1">
      <c r="A63" s="45">
        <v>5416.0</v>
      </c>
      <c r="B63" s="45">
        <v>19.27</v>
      </c>
      <c r="C63" s="45">
        <v>0.123288</v>
      </c>
      <c r="D63" s="45">
        <v>0.115756</v>
      </c>
      <c r="E63" s="45">
        <v>0.119522</v>
      </c>
    </row>
    <row r="64" ht="22.5" customHeight="1">
      <c r="A64" s="45">
        <v>5474.0</v>
      </c>
      <c r="B64" s="45">
        <v>19.71</v>
      </c>
      <c r="C64" s="45">
        <v>0.123663</v>
      </c>
      <c r="D64" s="45">
        <v>0.115548</v>
      </c>
      <c r="E64" s="45">
        <v>0.119606</v>
      </c>
    </row>
    <row r="65" ht="22.5" customHeight="1">
      <c r="A65" s="45">
        <v>5545.0</v>
      </c>
      <c r="B65" s="45">
        <v>20.16</v>
      </c>
      <c r="C65" s="45">
        <v>0.124141</v>
      </c>
      <c r="D65" s="45">
        <v>0.115357</v>
      </c>
      <c r="E65" s="45">
        <v>0.119749</v>
      </c>
    </row>
    <row r="66" ht="22.5" customHeight="1">
      <c r="A66" s="45">
        <v>5621.0</v>
      </c>
      <c r="B66" s="45">
        <v>20.62</v>
      </c>
      <c r="C66" s="45">
        <v>0.12422</v>
      </c>
      <c r="D66" s="45">
        <v>0.115325</v>
      </c>
      <c r="E66" s="45">
        <v>0.119772</v>
      </c>
    </row>
    <row r="67" ht="22.5" customHeight="1">
      <c r="A67" s="45">
        <v>5680.0</v>
      </c>
      <c r="B67" s="45">
        <v>21.07</v>
      </c>
      <c r="C67" s="45">
        <v>0.125386</v>
      </c>
      <c r="D67" s="45">
        <v>0.115339</v>
      </c>
      <c r="E67" s="45">
        <v>0.120362</v>
      </c>
    </row>
    <row r="68" ht="22.5" customHeight="1">
      <c r="A68" s="45">
        <v>5724.0</v>
      </c>
      <c r="B68" s="45">
        <v>21.53</v>
      </c>
      <c r="C68" s="45">
        <v>0.125492</v>
      </c>
      <c r="D68" s="45">
        <v>0.123413</v>
      </c>
      <c r="E68" s="45">
        <v>0.124452</v>
      </c>
    </row>
    <row r="69" ht="22.5" customHeight="1">
      <c r="A69" s="45">
        <v>5777.0</v>
      </c>
      <c r="B69" s="45">
        <v>22.0</v>
      </c>
      <c r="C69" s="45">
        <v>0.12536</v>
      </c>
      <c r="D69" s="45">
        <v>0.123698</v>
      </c>
      <c r="E69" s="45">
        <v>0.124529</v>
      </c>
    </row>
    <row r="70" ht="22.5" customHeight="1">
      <c r="A70" s="45">
        <v>5823.0</v>
      </c>
      <c r="B70" s="45">
        <v>22.48</v>
      </c>
      <c r="C70" s="45">
        <v>0.125121</v>
      </c>
      <c r="D70" s="45">
        <v>0.124682</v>
      </c>
      <c r="E70" s="45">
        <v>0.124902</v>
      </c>
    </row>
    <row r="71" ht="22.5" customHeight="1">
      <c r="A71" s="45">
        <v>5871.0</v>
      </c>
      <c r="B71" s="45">
        <v>22.95</v>
      </c>
      <c r="C71" s="45">
        <v>0.125125</v>
      </c>
      <c r="D71" s="45">
        <v>0.124662</v>
      </c>
      <c r="E71" s="45">
        <v>0.124894</v>
      </c>
    </row>
    <row r="72" ht="22.5" customHeight="1">
      <c r="A72" s="45">
        <v>5916.0</v>
      </c>
      <c r="B72" s="45">
        <v>23.43</v>
      </c>
      <c r="C72" s="45">
        <v>0.125545</v>
      </c>
      <c r="D72" s="45">
        <v>0.125134</v>
      </c>
      <c r="E72" s="45">
        <v>0.12534</v>
      </c>
    </row>
    <row r="73" ht="22.5" customHeight="1">
      <c r="A73" s="45">
        <v>5976.0</v>
      </c>
      <c r="B73" s="45">
        <v>23.92</v>
      </c>
      <c r="C73" s="45">
        <v>0.125861</v>
      </c>
      <c r="D73" s="45">
        <v>0.125063</v>
      </c>
      <c r="E73" s="45">
        <v>0.125462</v>
      </c>
    </row>
    <row r="74" ht="22.5" customHeight="1">
      <c r="A74" s="45">
        <v>6048.0</v>
      </c>
      <c r="B74" s="45">
        <v>24.41</v>
      </c>
      <c r="C74" s="45">
        <v>0.126084</v>
      </c>
      <c r="D74" s="45">
        <v>0.125963</v>
      </c>
      <c r="E74" s="45">
        <v>0.126023</v>
      </c>
    </row>
    <row r="75" ht="22.5" customHeight="1">
      <c r="A75" s="45">
        <v>6153.0</v>
      </c>
      <c r="B75" s="45">
        <v>24.91</v>
      </c>
      <c r="C75" s="45">
        <v>0.126334</v>
      </c>
      <c r="D75" s="45">
        <v>0.125925</v>
      </c>
      <c r="E75" s="45">
        <v>0.126129</v>
      </c>
    </row>
    <row r="76" ht="22.5" customHeight="1">
      <c r="A76" s="45">
        <v>6227.0</v>
      </c>
      <c r="B76" s="45">
        <v>25.43</v>
      </c>
      <c r="C76" s="45">
        <v>0.126863</v>
      </c>
      <c r="D76" s="45">
        <v>0.125971</v>
      </c>
      <c r="E76" s="45">
        <v>0.126417</v>
      </c>
    </row>
    <row r="77" ht="22.5" customHeight="1">
      <c r="A77" s="45">
        <v>6290.0</v>
      </c>
      <c r="B77" s="45">
        <v>25.95</v>
      </c>
      <c r="C77" s="45">
        <v>0.127119</v>
      </c>
      <c r="D77" s="45">
        <v>0.126051</v>
      </c>
      <c r="E77" s="45">
        <v>0.126585</v>
      </c>
    </row>
    <row r="78" ht="22.5" customHeight="1">
      <c r="A78" s="45">
        <v>6359.0</v>
      </c>
      <c r="B78" s="45">
        <v>26.49</v>
      </c>
      <c r="C78" s="45">
        <v>0.127724</v>
      </c>
      <c r="D78" s="45">
        <v>0.125919</v>
      </c>
      <c r="E78" s="45">
        <v>0.126821</v>
      </c>
    </row>
    <row r="79" ht="22.5" customHeight="1">
      <c r="A79" s="45">
        <v>6412.0</v>
      </c>
      <c r="B79" s="45">
        <v>27.07</v>
      </c>
      <c r="C79" s="45">
        <v>0.127446</v>
      </c>
      <c r="D79" s="45">
        <v>0.125865</v>
      </c>
      <c r="E79" s="45">
        <v>0.126655</v>
      </c>
    </row>
    <row r="80" ht="22.5" customHeight="1">
      <c r="A80" s="45">
        <v>6468.0</v>
      </c>
      <c r="B80" s="45">
        <v>27.62</v>
      </c>
      <c r="C80" s="45">
        <v>0.128006</v>
      </c>
      <c r="D80" s="45">
        <v>0.125789</v>
      </c>
      <c r="E80" s="45">
        <v>0.126897</v>
      </c>
    </row>
    <row r="81" ht="22.5" customHeight="1">
      <c r="A81" s="45">
        <v>6528.0</v>
      </c>
      <c r="B81" s="45">
        <v>28.18</v>
      </c>
      <c r="C81" s="45">
        <v>0.128218</v>
      </c>
      <c r="D81" s="45">
        <v>0.125745</v>
      </c>
      <c r="E81" s="45">
        <v>0.126982</v>
      </c>
    </row>
    <row r="82" ht="22.5" customHeight="1">
      <c r="A82" s="45">
        <v>6598.0</v>
      </c>
      <c r="B82" s="45">
        <v>28.74</v>
      </c>
      <c r="C82" s="45">
        <v>0.128885</v>
      </c>
      <c r="D82" s="45">
        <v>0.125797</v>
      </c>
      <c r="E82" s="45">
        <v>0.127341</v>
      </c>
    </row>
    <row r="83" ht="22.5" customHeight="1">
      <c r="A83" s="45">
        <v>6651.0</v>
      </c>
      <c r="B83" s="45">
        <v>29.29</v>
      </c>
      <c r="C83" s="45">
        <v>0.128827</v>
      </c>
      <c r="D83" s="45">
        <v>0.12581</v>
      </c>
      <c r="E83" s="45">
        <v>0.127318</v>
      </c>
    </row>
    <row r="84" ht="22.5" customHeight="1">
      <c r="A84" s="45">
        <v>6725.0</v>
      </c>
      <c r="B84" s="45">
        <v>29.86</v>
      </c>
      <c r="C84" s="45">
        <v>0.129155</v>
      </c>
      <c r="D84" s="45">
        <v>0.125749</v>
      </c>
      <c r="E84" s="45">
        <v>0.127452</v>
      </c>
    </row>
    <row r="85" ht="22.5" customHeight="1">
      <c r="A85" s="45">
        <v>6770.0</v>
      </c>
      <c r="B85" s="45">
        <v>30.43</v>
      </c>
      <c r="C85" s="45">
        <v>0.129303</v>
      </c>
      <c r="D85" s="45">
        <v>0.125776</v>
      </c>
      <c r="E85" s="45">
        <v>0.12754</v>
      </c>
    </row>
    <row r="86" ht="22.5" customHeight="1">
      <c r="A86" s="45">
        <v>6836.0</v>
      </c>
      <c r="B86" s="45">
        <v>31.03</v>
      </c>
      <c r="C86" s="45">
        <v>0.129253</v>
      </c>
      <c r="D86" s="45">
        <v>0.125804</v>
      </c>
      <c r="E86" s="45">
        <v>0.127528</v>
      </c>
    </row>
    <row r="87" ht="22.5" customHeight="1">
      <c r="A87" s="45">
        <v>6915.0</v>
      </c>
      <c r="B87" s="45">
        <v>31.62</v>
      </c>
      <c r="C87" s="45">
        <v>0.129265</v>
      </c>
      <c r="D87" s="45">
        <v>0.125793</v>
      </c>
      <c r="E87" s="45">
        <v>0.127529</v>
      </c>
    </row>
    <row r="89">
      <c r="C89" s="33" t="s">
        <v>44</v>
      </c>
      <c r="D89" s="33">
        <v>0.124638</v>
      </c>
    </row>
    <row r="91" ht="22.5" customHeight="1">
      <c r="A91" s="4" t="s">
        <v>45</v>
      </c>
      <c r="B91" s="4" t="s">
        <v>46</v>
      </c>
      <c r="C91" s="4" t="s">
        <v>47</v>
      </c>
      <c r="D91" s="29" t="s">
        <v>48</v>
      </c>
      <c r="E91" s="29" t="s">
        <v>49</v>
      </c>
      <c r="F91" s="4" t="s">
        <v>39</v>
      </c>
      <c r="G91" s="4" t="s">
        <v>50</v>
      </c>
    </row>
    <row r="92" ht="22.5" customHeight="1">
      <c r="A92" s="37">
        <v>1.0</v>
      </c>
      <c r="B92" s="37">
        <v>6092.0</v>
      </c>
      <c r="C92" s="6">
        <v>0.125442</v>
      </c>
      <c r="D92" s="36">
        <f t="shared" ref="D92:D97" si="1">abs(C92-D$89)^2</f>
        <v>0.000000646416</v>
      </c>
      <c r="E92" s="36">
        <f>(C92-Tabela_9[[#TOTALS],[Estimated Volume (m³)]]/6)^2</f>
        <v>0.000008005127111</v>
      </c>
      <c r="F92" s="37">
        <v>23.49</v>
      </c>
      <c r="G92" s="55">
        <f t="shared" ref="G92:G97" si="2">ABS(C92-D$89)/D$89</f>
        <v>0.006450681173</v>
      </c>
    </row>
    <row r="93" ht="22.5" customHeight="1">
      <c r="A93" s="37">
        <v>2.0</v>
      </c>
      <c r="B93" s="37">
        <v>6237.0</v>
      </c>
      <c r="C93" s="6">
        <v>0.131826</v>
      </c>
      <c r="D93" s="36">
        <f t="shared" si="1"/>
        <v>0.000051667344</v>
      </c>
      <c r="E93" s="36">
        <f>(C93-Tabela_9[[#TOTALS],[Estimated Volume (m³)]]/6)^2</f>
        <v>0.00001263565511</v>
      </c>
      <c r="F93" s="37">
        <v>24.8</v>
      </c>
      <c r="G93" s="55">
        <f t="shared" si="2"/>
        <v>0.05767101526</v>
      </c>
    </row>
    <row r="94" ht="22.5" customHeight="1">
      <c r="A94" s="37">
        <v>3.0</v>
      </c>
      <c r="B94" s="37">
        <v>6767.0</v>
      </c>
      <c r="C94" s="6">
        <v>0.13129</v>
      </c>
      <c r="D94" s="36">
        <f t="shared" si="1"/>
        <v>0.000044249104</v>
      </c>
      <c r="E94" s="36">
        <f>(C94-Tabela_9[[#TOTALS],[Estimated Volume (m³)]]/6)^2</f>
        <v>0.000009112348444</v>
      </c>
      <c r="F94" s="37">
        <v>28.83</v>
      </c>
      <c r="G94" s="55">
        <f t="shared" si="2"/>
        <v>0.05337056115</v>
      </c>
    </row>
    <row r="95" ht="22.5" customHeight="1">
      <c r="A95" s="37">
        <v>4.0</v>
      </c>
      <c r="B95" s="45">
        <v>6915.0</v>
      </c>
      <c r="C95" s="50">
        <v>0.127529</v>
      </c>
      <c r="D95" s="36">
        <f t="shared" si="1"/>
        <v>0.000008357881</v>
      </c>
      <c r="E95" s="36">
        <f>(C95-Tabela_9[[#TOTALS],[Estimated Volume (m³)]]/6)^2</f>
        <v>0.0000005510587778</v>
      </c>
      <c r="F95" s="45">
        <v>31.62</v>
      </c>
      <c r="G95" s="55">
        <f t="shared" si="2"/>
        <v>0.02319517322</v>
      </c>
    </row>
    <row r="96" ht="22.5" customHeight="1">
      <c r="A96" s="37">
        <v>5.0</v>
      </c>
      <c r="B96" s="37">
        <v>6019.0</v>
      </c>
      <c r="C96" s="6">
        <v>0.130199</v>
      </c>
      <c r="D96" s="36">
        <f t="shared" si="1"/>
        <v>0.000030924721</v>
      </c>
      <c r="E96" s="36">
        <f>(C96-Tabela_9[[#TOTALS],[Estimated Volume (m³)]]/6)^2</f>
        <v>0.000003715898778</v>
      </c>
      <c r="F96" s="37">
        <v>24.18</v>
      </c>
      <c r="G96" s="55">
        <f t="shared" si="2"/>
        <v>0.04461721144</v>
      </c>
    </row>
    <row r="97" ht="22.5" customHeight="1">
      <c r="A97" s="37">
        <v>6.0</v>
      </c>
      <c r="B97" s="37">
        <v>5574.0</v>
      </c>
      <c r="C97" s="6">
        <v>0.123342</v>
      </c>
      <c r="D97" s="36">
        <f t="shared" si="1"/>
        <v>0.000001679616</v>
      </c>
      <c r="E97" s="36">
        <f>(C97-Tabela_9[[#TOTALS],[Estimated Volume (m³)]]/6)^2</f>
        <v>0.00002429832711</v>
      </c>
      <c r="F97" s="37">
        <v>21.19</v>
      </c>
      <c r="G97" s="55">
        <f t="shared" si="2"/>
        <v>0.01039811294</v>
      </c>
    </row>
    <row r="98" ht="22.5" customHeight="1">
      <c r="A98" s="64" t="s">
        <v>54</v>
      </c>
      <c r="B98" s="65">
        <f t="shared" ref="B98:G98" si="3">SUM(B92:B97)</f>
        <v>37604</v>
      </c>
      <c r="C98" s="66">
        <f t="shared" si="3"/>
        <v>0.769628</v>
      </c>
      <c r="D98" s="65">
        <f t="shared" si="3"/>
        <v>0.000137525082</v>
      </c>
      <c r="E98" s="65">
        <f t="shared" si="3"/>
        <v>0.00005831841533</v>
      </c>
      <c r="F98" s="65">
        <f t="shared" si="3"/>
        <v>154.11</v>
      </c>
      <c r="G98" s="65">
        <f t="shared" si="3"/>
        <v>0.1957027552</v>
      </c>
    </row>
    <row r="99">
      <c r="G99" s="58"/>
    </row>
  </sheetData>
  <dataValidations>
    <dataValidation type="custom" allowBlank="1" showDropDown="1" sqref="A92:C97 G92:G97">
      <formula1>AND(ISNUMBER(A92),(NOT(OR(NOT(ISERROR(DATEVALUE(A92))), AND(ISNUMBER(A92), LEFT(CELL("format", A92))="D")))))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7" max="7" width="17.63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45">
        <v>714.0</v>
      </c>
      <c r="B2" s="45">
        <v>2.34</v>
      </c>
      <c r="C2" s="45">
        <v>0.015069</v>
      </c>
      <c r="D2" s="45">
        <v>0.014659</v>
      </c>
      <c r="E2" s="45">
        <v>0.014864</v>
      </c>
    </row>
    <row r="3" ht="22.5" customHeight="1">
      <c r="A3" s="45">
        <v>755.0</v>
      </c>
      <c r="B3" s="45">
        <v>2.45</v>
      </c>
      <c r="C3" s="45">
        <v>0.015514</v>
      </c>
      <c r="D3" s="45">
        <v>0.015048</v>
      </c>
      <c r="E3" s="45">
        <v>0.015281</v>
      </c>
    </row>
    <row r="4" ht="22.5" customHeight="1">
      <c r="A4" s="45">
        <v>806.0</v>
      </c>
      <c r="B4" s="45">
        <v>2.55</v>
      </c>
      <c r="C4" s="45">
        <v>0.01745</v>
      </c>
      <c r="D4" s="45">
        <v>0.016851</v>
      </c>
      <c r="E4" s="45">
        <v>0.01715</v>
      </c>
    </row>
    <row r="5" ht="22.5" customHeight="1">
      <c r="A5" s="45">
        <v>902.0</v>
      </c>
      <c r="B5" s="45">
        <v>2.66</v>
      </c>
      <c r="C5" s="45">
        <v>0.018583</v>
      </c>
      <c r="D5" s="45">
        <v>0.020583</v>
      </c>
      <c r="E5" s="45">
        <v>0.019583</v>
      </c>
    </row>
    <row r="6" ht="22.5" customHeight="1">
      <c r="A6" s="45">
        <v>982.0</v>
      </c>
      <c r="B6" s="45">
        <v>2.78</v>
      </c>
      <c r="C6" s="45">
        <v>0.030041</v>
      </c>
      <c r="D6" s="45">
        <v>0.023739</v>
      </c>
      <c r="E6" s="45">
        <v>0.02689</v>
      </c>
    </row>
    <row r="7" ht="22.5" customHeight="1">
      <c r="A7" s="45">
        <v>1238.0</v>
      </c>
      <c r="B7" s="45">
        <v>2.97</v>
      </c>
      <c r="C7" s="45">
        <v>0.032779</v>
      </c>
      <c r="D7" s="45">
        <v>0.033992</v>
      </c>
      <c r="E7" s="45">
        <v>0.033386</v>
      </c>
    </row>
    <row r="8" ht="22.5" customHeight="1">
      <c r="A8" s="45">
        <v>1314.0</v>
      </c>
      <c r="B8" s="45">
        <v>3.14</v>
      </c>
      <c r="C8" s="45">
        <v>0.032753</v>
      </c>
      <c r="D8" s="45">
        <v>0.035657</v>
      </c>
      <c r="E8" s="45">
        <v>0.034205</v>
      </c>
    </row>
    <row r="9" ht="22.5" customHeight="1">
      <c r="A9" s="45">
        <v>1402.0</v>
      </c>
      <c r="B9" s="45">
        <v>3.28</v>
      </c>
      <c r="C9" s="45">
        <v>0.038091</v>
      </c>
      <c r="D9" s="45">
        <v>0.036703</v>
      </c>
      <c r="E9" s="45">
        <v>0.037397</v>
      </c>
    </row>
    <row r="10" ht="22.5" customHeight="1">
      <c r="A10" s="45">
        <v>1499.0</v>
      </c>
      <c r="B10" s="45">
        <v>3.43</v>
      </c>
      <c r="C10" s="45">
        <v>0.040205</v>
      </c>
      <c r="D10" s="45">
        <v>0.039164</v>
      </c>
      <c r="E10" s="45">
        <v>0.039685</v>
      </c>
    </row>
    <row r="11" ht="22.5" customHeight="1">
      <c r="A11" s="45">
        <v>1575.0</v>
      </c>
      <c r="B11" s="45">
        <v>3.58</v>
      </c>
      <c r="C11" s="45">
        <v>0.0436</v>
      </c>
      <c r="D11" s="45">
        <v>0.041714</v>
      </c>
      <c r="E11" s="45">
        <v>0.042657</v>
      </c>
    </row>
    <row r="12" ht="22.5" customHeight="1">
      <c r="A12" s="45">
        <v>1658.0</v>
      </c>
      <c r="B12" s="45">
        <v>3.73</v>
      </c>
      <c r="C12" s="45">
        <v>0.046322</v>
      </c>
      <c r="D12" s="45">
        <v>0.047234</v>
      </c>
      <c r="E12" s="45">
        <v>0.046778</v>
      </c>
    </row>
    <row r="13" ht="22.5" customHeight="1">
      <c r="A13" s="45">
        <v>1766.0</v>
      </c>
      <c r="B13" s="45">
        <v>3.89</v>
      </c>
      <c r="C13" s="45">
        <v>0.04843</v>
      </c>
      <c r="D13" s="45">
        <v>0.049853</v>
      </c>
      <c r="E13" s="45">
        <v>0.049142</v>
      </c>
    </row>
    <row r="14" ht="22.5" customHeight="1">
      <c r="A14" s="45">
        <v>1859.0</v>
      </c>
      <c r="B14" s="45">
        <v>4.06</v>
      </c>
      <c r="C14" s="45">
        <v>0.04901</v>
      </c>
      <c r="D14" s="45">
        <v>0.052091</v>
      </c>
      <c r="E14" s="45">
        <v>0.050551</v>
      </c>
    </row>
    <row r="15" ht="22.5" customHeight="1">
      <c r="A15" s="45">
        <v>1926.0</v>
      </c>
      <c r="B15" s="45">
        <v>4.23</v>
      </c>
      <c r="C15" s="45">
        <v>0.054246</v>
      </c>
      <c r="D15" s="45">
        <v>0.053617</v>
      </c>
      <c r="E15" s="45">
        <v>0.053932</v>
      </c>
    </row>
    <row r="16" ht="22.5" customHeight="1">
      <c r="A16" s="45">
        <v>1997.0</v>
      </c>
      <c r="B16" s="45">
        <v>4.4</v>
      </c>
      <c r="C16" s="45">
        <v>0.05431</v>
      </c>
      <c r="D16" s="45">
        <v>0.054195</v>
      </c>
      <c r="E16" s="45">
        <v>0.054253</v>
      </c>
    </row>
    <row r="17" ht="22.5" customHeight="1">
      <c r="A17" s="45">
        <v>2048.0</v>
      </c>
      <c r="B17" s="45">
        <v>4.58</v>
      </c>
      <c r="C17" s="45">
        <v>0.054664</v>
      </c>
      <c r="D17" s="45">
        <v>0.054943</v>
      </c>
      <c r="E17" s="45">
        <v>0.054804</v>
      </c>
    </row>
    <row r="18" ht="22.5" customHeight="1">
      <c r="A18" s="45">
        <v>2129.0</v>
      </c>
      <c r="B18" s="45">
        <v>4.77</v>
      </c>
      <c r="C18" s="45">
        <v>0.057982</v>
      </c>
      <c r="D18" s="45">
        <v>0.062842</v>
      </c>
      <c r="E18" s="45">
        <v>0.060412</v>
      </c>
    </row>
    <row r="19" ht="22.5" customHeight="1">
      <c r="A19" s="45">
        <v>2238.0</v>
      </c>
      <c r="B19" s="45">
        <v>4.96</v>
      </c>
      <c r="C19" s="45">
        <v>0.062637</v>
      </c>
      <c r="D19" s="45">
        <v>0.062974</v>
      </c>
      <c r="E19" s="45">
        <v>0.062806</v>
      </c>
    </row>
    <row r="20" ht="22.5" customHeight="1">
      <c r="A20" s="45">
        <v>2308.0</v>
      </c>
      <c r="B20" s="45">
        <v>5.15</v>
      </c>
      <c r="C20" s="45">
        <v>0.063506</v>
      </c>
      <c r="D20" s="45">
        <v>0.069868</v>
      </c>
      <c r="E20" s="45">
        <v>0.066687</v>
      </c>
    </row>
    <row r="21" ht="22.5" customHeight="1">
      <c r="A21" s="45">
        <v>2387.0</v>
      </c>
      <c r="B21" s="45">
        <v>5.35</v>
      </c>
      <c r="C21" s="45">
        <v>0.06911</v>
      </c>
      <c r="D21" s="45">
        <v>0.075062</v>
      </c>
      <c r="E21" s="45">
        <v>0.072086</v>
      </c>
    </row>
    <row r="22" ht="22.5" customHeight="1">
      <c r="A22" s="45">
        <v>2459.0</v>
      </c>
      <c r="B22" s="45">
        <v>5.56</v>
      </c>
      <c r="C22" s="45">
        <v>0.071643</v>
      </c>
      <c r="D22" s="45">
        <v>0.088416</v>
      </c>
      <c r="E22" s="45">
        <v>0.080029</v>
      </c>
    </row>
    <row r="23" ht="22.5" customHeight="1">
      <c r="A23" s="45">
        <v>2536.0</v>
      </c>
      <c r="B23" s="45">
        <v>5.76</v>
      </c>
      <c r="C23" s="45">
        <v>0.075582</v>
      </c>
      <c r="D23" s="45">
        <v>0.08834</v>
      </c>
      <c r="E23" s="45">
        <v>0.081961</v>
      </c>
    </row>
    <row r="24" ht="22.5" customHeight="1">
      <c r="A24" s="45">
        <v>2614.0</v>
      </c>
      <c r="B24" s="45">
        <v>5.98</v>
      </c>
      <c r="C24" s="45">
        <v>0.080417</v>
      </c>
      <c r="D24" s="45">
        <v>0.088583</v>
      </c>
      <c r="E24" s="45">
        <v>0.0845</v>
      </c>
    </row>
    <row r="25" ht="22.5" customHeight="1">
      <c r="A25" s="45">
        <v>2671.0</v>
      </c>
      <c r="B25" s="45">
        <v>6.19</v>
      </c>
      <c r="C25" s="45">
        <v>0.080297</v>
      </c>
      <c r="D25" s="45">
        <v>0.089791</v>
      </c>
      <c r="E25" s="45">
        <v>0.085044</v>
      </c>
    </row>
    <row r="26" ht="22.5" customHeight="1">
      <c r="A26" s="45">
        <v>2740.0</v>
      </c>
      <c r="B26" s="45">
        <v>6.41</v>
      </c>
      <c r="C26" s="45">
        <v>0.082425</v>
      </c>
      <c r="D26" s="45">
        <v>0.090679</v>
      </c>
      <c r="E26" s="45">
        <v>0.086552</v>
      </c>
    </row>
    <row r="27" ht="22.5" customHeight="1">
      <c r="A27" s="45">
        <v>2819.0</v>
      </c>
      <c r="B27" s="45">
        <v>6.64</v>
      </c>
      <c r="C27" s="45">
        <v>0.088387</v>
      </c>
      <c r="D27" s="45">
        <v>0.109596</v>
      </c>
      <c r="E27" s="45">
        <v>0.098991</v>
      </c>
    </row>
    <row r="28" ht="22.5" customHeight="1">
      <c r="A28" s="45">
        <v>2915.0</v>
      </c>
      <c r="B28" s="45">
        <v>6.87</v>
      </c>
      <c r="C28" s="45">
        <v>0.092157</v>
      </c>
      <c r="D28" s="45">
        <v>0.108432</v>
      </c>
      <c r="E28" s="45">
        <v>0.100294</v>
      </c>
    </row>
    <row r="29" ht="22.5" customHeight="1">
      <c r="A29" s="45">
        <v>2971.0</v>
      </c>
      <c r="B29" s="45">
        <v>7.11</v>
      </c>
      <c r="C29" s="45">
        <v>0.093138</v>
      </c>
      <c r="D29" s="45">
        <v>0.109441</v>
      </c>
      <c r="E29" s="45">
        <v>0.10129</v>
      </c>
    </row>
    <row r="30" ht="22.5" customHeight="1">
      <c r="A30" s="45">
        <v>3066.0</v>
      </c>
      <c r="B30" s="45">
        <v>7.36</v>
      </c>
      <c r="C30" s="45">
        <v>0.096817</v>
      </c>
      <c r="D30" s="45">
        <v>0.108414</v>
      </c>
      <c r="E30" s="45">
        <v>0.102615</v>
      </c>
    </row>
    <row r="31" ht="22.5" customHeight="1">
      <c r="A31" s="45">
        <v>3115.0</v>
      </c>
      <c r="B31" s="45">
        <v>7.61</v>
      </c>
      <c r="C31" s="45">
        <v>0.096872</v>
      </c>
      <c r="D31" s="45">
        <v>0.108643</v>
      </c>
      <c r="E31" s="45">
        <v>0.102758</v>
      </c>
    </row>
    <row r="32" ht="22.5" customHeight="1">
      <c r="A32" s="45">
        <v>3163.0</v>
      </c>
      <c r="B32" s="45">
        <v>7.87</v>
      </c>
      <c r="C32" s="45">
        <v>0.097707</v>
      </c>
      <c r="D32" s="45">
        <v>0.109033</v>
      </c>
      <c r="E32" s="45">
        <v>0.10337</v>
      </c>
    </row>
    <row r="33" ht="22.5" customHeight="1">
      <c r="A33" s="45">
        <v>3233.0</v>
      </c>
      <c r="B33" s="45">
        <v>8.14</v>
      </c>
      <c r="C33" s="45">
        <v>0.101736</v>
      </c>
      <c r="D33" s="45">
        <v>0.108133</v>
      </c>
      <c r="E33" s="45">
        <v>0.104935</v>
      </c>
    </row>
    <row r="34" ht="22.5" customHeight="1">
      <c r="A34" s="45">
        <v>3316.0</v>
      </c>
      <c r="B34" s="45">
        <v>8.42</v>
      </c>
      <c r="C34" s="45">
        <v>0.104453</v>
      </c>
      <c r="D34" s="45">
        <v>0.108093</v>
      </c>
      <c r="E34" s="45">
        <v>0.106273</v>
      </c>
    </row>
    <row r="35" ht="22.5" customHeight="1">
      <c r="A35" s="45">
        <v>3372.0</v>
      </c>
      <c r="B35" s="45">
        <v>8.71</v>
      </c>
      <c r="C35" s="45">
        <v>0.106249</v>
      </c>
      <c r="D35" s="45">
        <v>0.114907</v>
      </c>
      <c r="E35" s="45">
        <v>0.110578</v>
      </c>
    </row>
    <row r="36" ht="22.5" customHeight="1">
      <c r="A36" s="45">
        <v>3433.0</v>
      </c>
      <c r="B36" s="45">
        <v>8.99</v>
      </c>
      <c r="C36" s="45">
        <v>0.107352</v>
      </c>
      <c r="D36" s="45">
        <v>0.115055</v>
      </c>
      <c r="E36" s="45">
        <v>0.111204</v>
      </c>
    </row>
    <row r="37" ht="22.5" customHeight="1">
      <c r="A37" s="45">
        <v>3491.0</v>
      </c>
      <c r="B37" s="45">
        <v>9.28</v>
      </c>
      <c r="C37" s="45">
        <v>0.108389</v>
      </c>
      <c r="D37" s="45">
        <v>0.115329</v>
      </c>
      <c r="E37" s="45">
        <v>0.111859</v>
      </c>
    </row>
    <row r="38" ht="22.5" customHeight="1">
      <c r="A38" s="45">
        <v>3554.0</v>
      </c>
      <c r="B38" s="45">
        <v>9.58</v>
      </c>
      <c r="C38" s="45">
        <v>0.108604</v>
      </c>
      <c r="D38" s="45">
        <v>0.115402</v>
      </c>
      <c r="E38" s="45">
        <v>0.112003</v>
      </c>
    </row>
    <row r="39" ht="22.5" customHeight="1">
      <c r="A39" s="45">
        <v>3618.0</v>
      </c>
      <c r="B39" s="45">
        <v>9.88</v>
      </c>
      <c r="C39" s="45">
        <v>0.109175</v>
      </c>
      <c r="D39" s="45">
        <v>0.1156</v>
      </c>
      <c r="E39" s="45">
        <v>0.112388</v>
      </c>
    </row>
    <row r="40" ht="22.5" customHeight="1">
      <c r="A40" s="45">
        <v>3685.0</v>
      </c>
      <c r="B40" s="45">
        <v>10.19</v>
      </c>
      <c r="C40" s="45">
        <v>0.110092</v>
      </c>
      <c r="D40" s="45">
        <v>0.116451</v>
      </c>
      <c r="E40" s="45">
        <v>0.113272</v>
      </c>
    </row>
    <row r="41" ht="22.5" customHeight="1">
      <c r="A41" s="45">
        <v>3745.0</v>
      </c>
      <c r="B41" s="45">
        <v>10.5</v>
      </c>
      <c r="C41" s="45">
        <v>0.110421</v>
      </c>
      <c r="D41" s="45">
        <v>0.116695</v>
      </c>
      <c r="E41" s="45">
        <v>0.113558</v>
      </c>
    </row>
    <row r="42" ht="22.5" customHeight="1">
      <c r="A42" s="45">
        <v>3818.0</v>
      </c>
      <c r="B42" s="45">
        <v>10.83</v>
      </c>
      <c r="C42" s="45">
        <v>0.111509</v>
      </c>
      <c r="D42" s="45">
        <v>0.117204</v>
      </c>
      <c r="E42" s="45">
        <v>0.114356</v>
      </c>
    </row>
    <row r="43" ht="22.5" customHeight="1">
      <c r="A43" s="45">
        <v>3905.0</v>
      </c>
      <c r="B43" s="45">
        <v>11.16</v>
      </c>
      <c r="C43" s="45">
        <v>0.110538</v>
      </c>
      <c r="D43" s="45">
        <v>0.117522</v>
      </c>
      <c r="E43" s="45">
        <v>0.11403</v>
      </c>
    </row>
    <row r="44" ht="22.5" customHeight="1">
      <c r="A44" s="45">
        <v>3962.0</v>
      </c>
      <c r="B44" s="45">
        <v>11.51</v>
      </c>
      <c r="C44" s="45">
        <v>0.111123</v>
      </c>
      <c r="D44" s="45">
        <v>0.117776</v>
      </c>
      <c r="E44" s="45">
        <v>0.114449</v>
      </c>
    </row>
    <row r="45" ht="22.5" customHeight="1">
      <c r="A45" s="45">
        <v>4004.0</v>
      </c>
      <c r="B45" s="45">
        <v>11.84</v>
      </c>
      <c r="C45" s="45">
        <v>0.110978</v>
      </c>
      <c r="D45" s="45">
        <v>0.118512</v>
      </c>
      <c r="E45" s="45">
        <v>0.114745</v>
      </c>
    </row>
    <row r="46" ht="22.5" customHeight="1">
      <c r="A46" s="45">
        <v>4053.0</v>
      </c>
      <c r="B46" s="45">
        <v>12.19</v>
      </c>
      <c r="C46" s="45">
        <v>0.111077</v>
      </c>
      <c r="D46" s="45">
        <v>0.118735</v>
      </c>
      <c r="E46" s="45">
        <v>0.114906</v>
      </c>
    </row>
    <row r="47" ht="22.5" customHeight="1">
      <c r="A47" s="45">
        <v>4109.0</v>
      </c>
      <c r="B47" s="45">
        <v>12.52</v>
      </c>
      <c r="C47" s="45">
        <v>0.111585</v>
      </c>
      <c r="D47" s="45">
        <v>0.119167</v>
      </c>
      <c r="E47" s="45">
        <v>0.115376</v>
      </c>
    </row>
    <row r="48" ht="22.5" customHeight="1">
      <c r="A48" s="45">
        <v>4155.0</v>
      </c>
      <c r="B48" s="45">
        <v>12.88</v>
      </c>
      <c r="C48" s="45">
        <v>0.111491</v>
      </c>
      <c r="D48" s="45">
        <v>0.11928</v>
      </c>
      <c r="E48" s="45">
        <v>0.115385</v>
      </c>
    </row>
    <row r="49" ht="22.5" customHeight="1">
      <c r="A49" s="45">
        <v>4203.0</v>
      </c>
      <c r="B49" s="45">
        <v>13.23</v>
      </c>
      <c r="C49" s="45">
        <v>0.111718</v>
      </c>
      <c r="D49" s="45">
        <v>0.119477</v>
      </c>
      <c r="E49" s="45">
        <v>0.115597</v>
      </c>
    </row>
    <row r="50" ht="22.5" customHeight="1">
      <c r="A50" s="45">
        <v>4250.0</v>
      </c>
      <c r="B50" s="45">
        <v>13.58</v>
      </c>
      <c r="C50" s="45">
        <v>0.112138</v>
      </c>
      <c r="D50" s="45">
        <v>0.119477</v>
      </c>
      <c r="E50" s="45">
        <v>0.115808</v>
      </c>
    </row>
    <row r="51" ht="22.5" customHeight="1">
      <c r="A51" s="45">
        <v>4298.0</v>
      </c>
      <c r="B51" s="45">
        <v>13.94</v>
      </c>
      <c r="C51" s="45">
        <v>0.112628</v>
      </c>
      <c r="D51" s="45">
        <v>0.119482</v>
      </c>
      <c r="E51" s="45">
        <v>0.116055</v>
      </c>
    </row>
    <row r="52" ht="22.5" customHeight="1">
      <c r="A52" s="45">
        <v>4384.0</v>
      </c>
      <c r="B52" s="45">
        <v>14.31</v>
      </c>
      <c r="C52" s="45">
        <v>0.113083</v>
      </c>
      <c r="D52" s="45">
        <v>0.119949</v>
      </c>
      <c r="E52" s="45">
        <v>0.116516</v>
      </c>
    </row>
    <row r="53" ht="22.5" customHeight="1">
      <c r="A53" s="45">
        <v>4439.0</v>
      </c>
      <c r="B53" s="45">
        <v>14.68</v>
      </c>
      <c r="C53" s="45">
        <v>0.114636</v>
      </c>
      <c r="D53" s="45">
        <v>0.120175</v>
      </c>
      <c r="E53" s="45">
        <v>0.117405</v>
      </c>
    </row>
    <row r="54" ht="22.5" customHeight="1">
      <c r="A54" s="45">
        <v>4496.0</v>
      </c>
      <c r="B54" s="45">
        <v>15.06</v>
      </c>
      <c r="C54" s="45">
        <v>0.114548</v>
      </c>
      <c r="D54" s="45">
        <v>0.120255</v>
      </c>
      <c r="E54" s="45">
        <v>0.117402</v>
      </c>
    </row>
    <row r="55" ht="22.5" customHeight="1">
      <c r="A55" s="45">
        <v>4545.0</v>
      </c>
      <c r="B55" s="45">
        <v>15.43</v>
      </c>
      <c r="C55" s="45">
        <v>0.115339</v>
      </c>
      <c r="D55" s="45">
        <v>0.120185</v>
      </c>
      <c r="E55" s="45">
        <v>0.117762</v>
      </c>
    </row>
    <row r="56" ht="22.5" customHeight="1">
      <c r="A56" s="45">
        <v>4606.0</v>
      </c>
      <c r="B56" s="45">
        <v>15.82</v>
      </c>
      <c r="C56" s="45">
        <v>0.114493</v>
      </c>
      <c r="D56" s="45">
        <v>0.120126</v>
      </c>
      <c r="E56" s="45">
        <v>0.117309</v>
      </c>
    </row>
    <row r="57" ht="22.5" customHeight="1">
      <c r="A57" s="45">
        <v>4652.0</v>
      </c>
      <c r="B57" s="45">
        <v>16.22</v>
      </c>
      <c r="C57" s="45">
        <v>0.114804</v>
      </c>
      <c r="D57" s="45">
        <v>0.12024</v>
      </c>
      <c r="E57" s="45">
        <v>0.117522</v>
      </c>
    </row>
    <row r="58" ht="22.5" customHeight="1">
      <c r="A58" s="45">
        <v>4714.0</v>
      </c>
      <c r="B58" s="45">
        <v>16.62</v>
      </c>
      <c r="C58" s="45">
        <v>0.114989</v>
      </c>
      <c r="D58" s="45">
        <v>0.121126</v>
      </c>
      <c r="E58" s="45">
        <v>0.118058</v>
      </c>
    </row>
    <row r="59" ht="22.5" customHeight="1">
      <c r="A59" s="45">
        <v>4800.0</v>
      </c>
      <c r="B59" s="45">
        <v>17.03</v>
      </c>
      <c r="C59" s="45">
        <v>0.115534</v>
      </c>
      <c r="D59" s="45">
        <v>0.121674</v>
      </c>
      <c r="E59" s="45">
        <v>0.118604</v>
      </c>
    </row>
    <row r="60" ht="22.5" customHeight="1">
      <c r="A60" s="45">
        <v>4847.0</v>
      </c>
      <c r="B60" s="45">
        <v>17.44</v>
      </c>
      <c r="C60" s="45">
        <v>0.115593</v>
      </c>
      <c r="D60" s="45">
        <v>0.121679</v>
      </c>
      <c r="E60" s="45">
        <v>0.118636</v>
      </c>
    </row>
    <row r="61" ht="22.5" customHeight="1">
      <c r="A61" s="45">
        <v>4907.0</v>
      </c>
      <c r="B61" s="45">
        <v>17.85</v>
      </c>
      <c r="C61" s="45">
        <v>0.115785</v>
      </c>
      <c r="D61" s="45">
        <v>0.121682</v>
      </c>
      <c r="E61" s="45">
        <v>0.118733</v>
      </c>
    </row>
    <row r="62" ht="22.5" customHeight="1">
      <c r="A62" s="45">
        <v>4961.0</v>
      </c>
      <c r="B62" s="45">
        <v>18.32</v>
      </c>
      <c r="C62" s="45">
        <v>0.116229</v>
      </c>
      <c r="D62" s="45">
        <v>0.122242</v>
      </c>
      <c r="E62" s="45">
        <v>0.119235</v>
      </c>
    </row>
    <row r="63" ht="22.5" customHeight="1">
      <c r="A63" s="45">
        <v>5030.0</v>
      </c>
      <c r="B63" s="45">
        <v>18.74</v>
      </c>
      <c r="C63" s="45">
        <v>0.116449</v>
      </c>
      <c r="D63" s="45">
        <v>0.122216</v>
      </c>
      <c r="E63" s="45">
        <v>0.119332</v>
      </c>
    </row>
    <row r="64" ht="22.5" customHeight="1">
      <c r="A64" s="45">
        <v>5126.0</v>
      </c>
      <c r="B64" s="45">
        <v>19.16</v>
      </c>
      <c r="C64" s="45">
        <v>0.11712</v>
      </c>
      <c r="D64" s="45">
        <v>0.122186</v>
      </c>
      <c r="E64" s="45">
        <v>0.119653</v>
      </c>
    </row>
    <row r="65" ht="22.5" customHeight="1">
      <c r="A65" s="45">
        <v>5173.0</v>
      </c>
      <c r="B65" s="45">
        <v>19.6</v>
      </c>
      <c r="C65" s="45">
        <v>0.117383</v>
      </c>
      <c r="D65" s="45">
        <v>0.122127</v>
      </c>
      <c r="E65" s="45">
        <v>0.119755</v>
      </c>
    </row>
    <row r="66" ht="22.5" customHeight="1">
      <c r="A66" s="45">
        <v>5233.0</v>
      </c>
      <c r="B66" s="45">
        <v>20.04</v>
      </c>
      <c r="C66" s="45">
        <v>0.118707</v>
      </c>
      <c r="D66" s="45">
        <v>0.122391</v>
      </c>
      <c r="E66" s="45">
        <v>0.120549</v>
      </c>
    </row>
    <row r="67" ht="22.5" customHeight="1">
      <c r="A67" s="45">
        <v>5301.0</v>
      </c>
      <c r="B67" s="45">
        <v>20.5</v>
      </c>
      <c r="C67" s="45">
        <v>0.118816</v>
      </c>
      <c r="D67" s="45">
        <v>0.123076</v>
      </c>
      <c r="E67" s="45">
        <v>0.120946</v>
      </c>
    </row>
    <row r="68" ht="22.5" customHeight="1">
      <c r="A68" s="45">
        <v>5374.0</v>
      </c>
      <c r="B68" s="45">
        <v>20.95</v>
      </c>
      <c r="C68" s="45">
        <v>0.118763</v>
      </c>
      <c r="D68" s="45">
        <v>0.123237</v>
      </c>
      <c r="E68" s="45">
        <v>0.121</v>
      </c>
    </row>
    <row r="69" ht="22.5" customHeight="1">
      <c r="A69" s="45">
        <v>5452.0</v>
      </c>
      <c r="B69" s="45">
        <v>21.42</v>
      </c>
      <c r="C69" s="45">
        <v>0.119162</v>
      </c>
      <c r="D69" s="45">
        <v>0.123477</v>
      </c>
      <c r="E69" s="45">
        <v>0.121319</v>
      </c>
    </row>
    <row r="70" ht="22.5" customHeight="1">
      <c r="A70" s="45">
        <v>5539.0</v>
      </c>
      <c r="B70" s="45">
        <v>21.89</v>
      </c>
      <c r="C70" s="45">
        <v>0.119593</v>
      </c>
      <c r="D70" s="45">
        <v>0.12397</v>
      </c>
      <c r="E70" s="45">
        <v>0.121782</v>
      </c>
    </row>
    <row r="71" ht="22.5" customHeight="1">
      <c r="A71" s="45">
        <v>5607.0</v>
      </c>
      <c r="B71" s="45">
        <v>22.38</v>
      </c>
      <c r="C71" s="45">
        <v>0.1196</v>
      </c>
      <c r="D71" s="45">
        <v>0.124</v>
      </c>
      <c r="E71" s="45">
        <v>0.1218</v>
      </c>
    </row>
    <row r="72" ht="22.5" customHeight="1">
      <c r="A72" s="45">
        <v>5662.0</v>
      </c>
      <c r="B72" s="45">
        <v>22.87</v>
      </c>
      <c r="C72" s="45">
        <v>0.119983</v>
      </c>
      <c r="D72" s="45">
        <v>0.123989</v>
      </c>
      <c r="E72" s="45">
        <v>0.121986</v>
      </c>
    </row>
    <row r="73" ht="22.5" customHeight="1">
      <c r="A73" s="45">
        <v>5709.0</v>
      </c>
      <c r="B73" s="45">
        <v>23.39</v>
      </c>
      <c r="C73" s="45">
        <v>0.120148</v>
      </c>
      <c r="D73" s="45">
        <v>0.124046</v>
      </c>
      <c r="E73" s="45">
        <v>0.122097</v>
      </c>
    </row>
    <row r="74" ht="22.5" customHeight="1">
      <c r="A74" s="45">
        <v>5771.0</v>
      </c>
      <c r="B74" s="45">
        <v>23.89</v>
      </c>
      <c r="C74" s="45">
        <v>0.120607</v>
      </c>
      <c r="D74" s="45">
        <v>0.124502</v>
      </c>
      <c r="E74" s="45">
        <v>0.122555</v>
      </c>
    </row>
    <row r="75" ht="22.5" customHeight="1">
      <c r="A75" s="45">
        <v>5823.0</v>
      </c>
      <c r="B75" s="45">
        <v>24.38</v>
      </c>
      <c r="C75" s="45">
        <v>0.120986</v>
      </c>
      <c r="D75" s="45">
        <v>0.124382</v>
      </c>
      <c r="E75" s="45">
        <v>0.122684</v>
      </c>
    </row>
    <row r="76" ht="22.5" customHeight="1">
      <c r="A76" s="45">
        <v>5868.0</v>
      </c>
      <c r="B76" s="45">
        <v>24.88</v>
      </c>
      <c r="C76" s="45">
        <v>0.12104</v>
      </c>
      <c r="D76" s="45">
        <v>0.124349</v>
      </c>
      <c r="E76" s="45">
        <v>0.122694</v>
      </c>
    </row>
    <row r="77" ht="22.5" customHeight="1">
      <c r="A77" s="45">
        <v>5950.0</v>
      </c>
      <c r="B77" s="45">
        <v>25.4</v>
      </c>
      <c r="C77" s="45">
        <v>0.121446</v>
      </c>
      <c r="D77" s="45">
        <v>0.12468</v>
      </c>
      <c r="E77" s="45">
        <v>0.123063</v>
      </c>
    </row>
    <row r="78" ht="22.5" customHeight="1">
      <c r="A78" s="45">
        <v>5996.0</v>
      </c>
      <c r="B78" s="45">
        <v>25.9</v>
      </c>
      <c r="C78" s="45">
        <v>0.121434</v>
      </c>
      <c r="D78" s="45">
        <v>0.124864</v>
      </c>
      <c r="E78" s="45">
        <v>0.123149</v>
      </c>
    </row>
    <row r="79" ht="22.5" customHeight="1">
      <c r="A79" s="45">
        <v>6058.0</v>
      </c>
      <c r="B79" s="45">
        <v>26.42</v>
      </c>
      <c r="C79" s="45">
        <v>0.122521</v>
      </c>
      <c r="D79" s="45">
        <v>0.125013</v>
      </c>
      <c r="E79" s="45">
        <v>0.123767</v>
      </c>
    </row>
    <row r="80" ht="22.5" customHeight="1">
      <c r="A80" s="45">
        <v>6130.0</v>
      </c>
      <c r="B80" s="45">
        <v>26.95</v>
      </c>
      <c r="C80" s="45">
        <v>0.122582</v>
      </c>
      <c r="D80" s="45">
        <v>0.125196</v>
      </c>
      <c r="E80" s="45">
        <v>0.123889</v>
      </c>
    </row>
    <row r="81" ht="22.5" customHeight="1">
      <c r="A81" s="45">
        <v>6226.0</v>
      </c>
      <c r="B81" s="45">
        <v>27.49</v>
      </c>
      <c r="C81" s="45">
        <v>0.122743</v>
      </c>
      <c r="D81" s="45">
        <v>0.125368</v>
      </c>
      <c r="E81" s="45">
        <v>0.124055</v>
      </c>
    </row>
    <row r="82" ht="22.5" customHeight="1">
      <c r="A82" s="45">
        <v>6273.0</v>
      </c>
      <c r="B82" s="45">
        <v>28.04</v>
      </c>
      <c r="C82" s="45">
        <v>0.122739</v>
      </c>
      <c r="D82" s="45">
        <v>0.125376</v>
      </c>
      <c r="E82" s="45">
        <v>0.124057</v>
      </c>
    </row>
    <row r="83" ht="22.5" customHeight="1">
      <c r="A83" s="45">
        <v>6320.0</v>
      </c>
      <c r="B83" s="45">
        <v>28.6</v>
      </c>
      <c r="C83" s="45">
        <v>0.12278</v>
      </c>
      <c r="D83" s="45">
        <v>0.125307</v>
      </c>
      <c r="E83" s="45">
        <v>0.124044</v>
      </c>
    </row>
    <row r="84">
      <c r="A84" s="67"/>
      <c r="B84" s="67"/>
      <c r="C84" s="67"/>
      <c r="D84" s="67"/>
      <c r="E84" s="67"/>
    </row>
    <row r="85">
      <c r="A85" s="67"/>
      <c r="B85" s="67"/>
      <c r="C85" s="67"/>
      <c r="D85" s="67"/>
      <c r="E85" s="67"/>
    </row>
    <row r="86">
      <c r="A86" s="67"/>
      <c r="B86" s="67"/>
      <c r="C86" s="67"/>
      <c r="D86" s="67"/>
      <c r="E86" s="67"/>
    </row>
    <row r="88">
      <c r="C88" s="33" t="s">
        <v>44</v>
      </c>
      <c r="D88" s="33">
        <v>0.124638</v>
      </c>
    </row>
    <row r="90" ht="22.5" customHeight="1">
      <c r="A90" s="4" t="s">
        <v>45</v>
      </c>
      <c r="B90" s="4" t="s">
        <v>46</v>
      </c>
      <c r="C90" s="4" t="s">
        <v>47</v>
      </c>
      <c r="D90" s="29" t="s">
        <v>48</v>
      </c>
      <c r="E90" s="29" t="s">
        <v>49</v>
      </c>
      <c r="F90" s="4" t="s">
        <v>39</v>
      </c>
      <c r="G90" s="4" t="s">
        <v>50</v>
      </c>
    </row>
    <row r="91" ht="22.5" customHeight="1">
      <c r="A91" s="37">
        <v>1.0</v>
      </c>
      <c r="B91" s="37">
        <v>7342.0</v>
      </c>
      <c r="C91" s="68">
        <v>0.127394</v>
      </c>
      <c r="D91" s="36">
        <f t="shared" ref="D91:D98" si="1">abs(C91-D$88)^2</f>
        <v>0.000007595536</v>
      </c>
      <c r="E91" s="36">
        <f t="shared" ref="E91:E98" si="2">(C91-C$99/8)^2</f>
        <v>0.00002410564506</v>
      </c>
      <c r="F91" s="37">
        <v>34.97</v>
      </c>
      <c r="G91" s="55">
        <f t="shared" ref="G91:G98" si="3">ABS(C91-D$88)/D$88</f>
        <v>0.02211203646</v>
      </c>
    </row>
    <row r="92" ht="22.5" customHeight="1">
      <c r="A92" s="37">
        <v>2.0</v>
      </c>
      <c r="B92" s="37">
        <v>5694.0</v>
      </c>
      <c r="C92" s="68">
        <v>0.118818</v>
      </c>
      <c r="D92" s="36">
        <f t="shared" si="1"/>
        <v>0.0000338724</v>
      </c>
      <c r="E92" s="36">
        <f t="shared" si="2"/>
        <v>0.00001344138906</v>
      </c>
      <c r="F92" s="37">
        <v>21.56</v>
      </c>
      <c r="G92" s="55">
        <f t="shared" si="3"/>
        <v>0.04669522938</v>
      </c>
    </row>
    <row r="93" ht="22.5" customHeight="1">
      <c r="A93" s="37">
        <v>3.0</v>
      </c>
      <c r="B93" s="37">
        <v>5354.0</v>
      </c>
      <c r="C93" s="68">
        <v>0.117425</v>
      </c>
      <c r="D93" s="36">
        <f t="shared" si="1"/>
        <v>0.000052027369</v>
      </c>
      <c r="E93" s="36">
        <f t="shared" si="2"/>
        <v>0.00002559601056</v>
      </c>
      <c r="F93" s="37">
        <v>18.53</v>
      </c>
      <c r="G93" s="55">
        <f t="shared" si="3"/>
        <v>0.05787159614</v>
      </c>
    </row>
    <row r="94" ht="22.5" customHeight="1">
      <c r="A94" s="37">
        <v>4.0</v>
      </c>
      <c r="B94" s="37">
        <v>5158.0</v>
      </c>
      <c r="C94" s="68">
        <v>0.119214</v>
      </c>
      <c r="D94" s="36">
        <f t="shared" si="1"/>
        <v>0.000029419776</v>
      </c>
      <c r="E94" s="36">
        <f t="shared" si="2"/>
        <v>0.00001069453506</v>
      </c>
      <c r="F94" s="37">
        <v>18.37</v>
      </c>
      <c r="G94" s="55">
        <f t="shared" si="3"/>
        <v>0.04351802821</v>
      </c>
    </row>
    <row r="95" ht="22.5" customHeight="1">
      <c r="A95" s="37">
        <v>5.0</v>
      </c>
      <c r="B95" s="37">
        <v>7123.0</v>
      </c>
      <c r="C95" s="68">
        <v>0.126082</v>
      </c>
      <c r="D95" s="36">
        <f t="shared" si="1"/>
        <v>0.000002085136</v>
      </c>
      <c r="E95" s="36">
        <f t="shared" si="2"/>
        <v>0.00001294380506</v>
      </c>
      <c r="F95" s="37">
        <v>32.25</v>
      </c>
      <c r="G95" s="55">
        <f t="shared" si="3"/>
        <v>0.01158555176</v>
      </c>
    </row>
    <row r="96" ht="22.5" customHeight="1">
      <c r="A96" s="37">
        <v>6.0</v>
      </c>
      <c r="B96" s="37">
        <v>8001.0</v>
      </c>
      <c r="C96" s="68">
        <v>0.129813</v>
      </c>
      <c r="D96" s="36">
        <f t="shared" si="1"/>
        <v>0.000026780625</v>
      </c>
      <c r="E96" s="36">
        <f t="shared" si="2"/>
        <v>0.00005371057656</v>
      </c>
      <c r="F96" s="37">
        <v>41.96</v>
      </c>
      <c r="G96" s="55">
        <f t="shared" si="3"/>
        <v>0.04152024262</v>
      </c>
    </row>
    <row r="97" ht="22.5" customHeight="1">
      <c r="A97" s="37">
        <v>7.0</v>
      </c>
      <c r="B97" s="37">
        <v>5285.0</v>
      </c>
      <c r="C97" s="68">
        <v>0.117084</v>
      </c>
      <c r="D97" s="36">
        <f t="shared" si="1"/>
        <v>0.000057062916</v>
      </c>
      <c r="E97" s="36">
        <f t="shared" si="2"/>
        <v>0.00002916270006</v>
      </c>
      <c r="F97" s="37">
        <v>18.59</v>
      </c>
      <c r="G97" s="55">
        <f t="shared" si="3"/>
        <v>0.06060751938</v>
      </c>
    </row>
    <row r="98" ht="22.5" customHeight="1">
      <c r="A98" s="37">
        <v>8.0</v>
      </c>
      <c r="B98" s="45">
        <v>6320.0</v>
      </c>
      <c r="C98" s="50">
        <v>0.124044</v>
      </c>
      <c r="D98" s="36">
        <f t="shared" si="1"/>
        <v>0.000000352836</v>
      </c>
      <c r="E98" s="36">
        <f t="shared" si="2"/>
        <v>0.000002432820063</v>
      </c>
      <c r="F98" s="45">
        <v>28.6</v>
      </c>
      <c r="G98" s="55">
        <f t="shared" si="3"/>
        <v>0.004765801762</v>
      </c>
    </row>
    <row r="99" ht="22.5" customHeight="1">
      <c r="A99" s="69" t="s">
        <v>53</v>
      </c>
      <c r="B99" s="69">
        <f t="shared" ref="B99:G99" si="4">SUM(B91:B98)</f>
        <v>50277</v>
      </c>
      <c r="C99" s="70">
        <f t="shared" si="4"/>
        <v>0.979874</v>
      </c>
      <c r="D99" s="69">
        <f t="shared" si="4"/>
        <v>0.000209196594</v>
      </c>
      <c r="E99" s="69">
        <f t="shared" si="4"/>
        <v>0.0001720874815</v>
      </c>
      <c r="F99" s="69">
        <f t="shared" si="4"/>
        <v>214.83</v>
      </c>
      <c r="G99" s="69">
        <f t="shared" si="4"/>
        <v>0.2886760057</v>
      </c>
    </row>
  </sheetData>
  <dataValidations>
    <dataValidation type="custom" allowBlank="1" showDropDown="1" sqref="A91:C99 G91:G99">
      <formula1>AND(ISNUMBER(A91),(NOT(OR(NOT(ISERROR(DATEVALUE(A91))), AND(ISNUMBER(A91), LEFT(CELL("format", A91))="D")))))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45">
        <v>543.0</v>
      </c>
      <c r="B2" s="45">
        <v>2.27</v>
      </c>
      <c r="C2" s="45">
        <v>0.007084</v>
      </c>
      <c r="D2" s="45">
        <v>0.008196</v>
      </c>
      <c r="E2" s="45">
        <v>0.00764</v>
      </c>
    </row>
    <row r="3" ht="22.5" customHeight="1">
      <c r="A3" s="45">
        <v>617.0</v>
      </c>
      <c r="B3" s="45">
        <v>2.38</v>
      </c>
      <c r="C3" s="45">
        <v>0.007567</v>
      </c>
      <c r="D3" s="45">
        <v>0.009605</v>
      </c>
      <c r="E3" s="45">
        <v>0.008586</v>
      </c>
    </row>
    <row r="4" ht="22.5" customHeight="1">
      <c r="A4" s="45">
        <v>963.0</v>
      </c>
      <c r="B4" s="45">
        <v>2.49</v>
      </c>
      <c r="C4" s="45">
        <v>0.016738</v>
      </c>
      <c r="D4" s="45">
        <v>0.018827</v>
      </c>
      <c r="E4" s="45">
        <v>0.017782</v>
      </c>
    </row>
    <row r="5" ht="22.5" customHeight="1">
      <c r="A5" s="45">
        <v>1100.0</v>
      </c>
      <c r="B5" s="45">
        <v>2.61</v>
      </c>
      <c r="C5" s="45">
        <v>0.017653</v>
      </c>
      <c r="D5" s="45">
        <v>0.0203</v>
      </c>
      <c r="E5" s="45">
        <v>0.018976</v>
      </c>
    </row>
    <row r="6" ht="22.5" customHeight="1">
      <c r="A6" s="45">
        <v>1224.0</v>
      </c>
      <c r="B6" s="45">
        <v>2.74</v>
      </c>
      <c r="C6" s="45">
        <v>0.030184</v>
      </c>
      <c r="D6" s="45">
        <v>0.025746</v>
      </c>
      <c r="E6" s="45">
        <v>0.027965</v>
      </c>
    </row>
    <row r="7" ht="22.5" customHeight="1">
      <c r="A7" s="45">
        <v>1346.0</v>
      </c>
      <c r="B7" s="45">
        <v>2.87</v>
      </c>
      <c r="C7" s="45">
        <v>0.030723</v>
      </c>
      <c r="D7" s="45">
        <v>0.027323</v>
      </c>
      <c r="E7" s="45">
        <v>0.029023</v>
      </c>
    </row>
    <row r="8" ht="22.5" customHeight="1">
      <c r="A8" s="45">
        <v>1443.0</v>
      </c>
      <c r="B8" s="45">
        <v>3.01</v>
      </c>
      <c r="C8" s="45">
        <v>0.031523</v>
      </c>
      <c r="D8" s="45">
        <v>0.028166</v>
      </c>
      <c r="E8" s="45">
        <v>0.029845</v>
      </c>
    </row>
    <row r="9" ht="22.5" customHeight="1">
      <c r="A9" s="45">
        <v>1571.0</v>
      </c>
      <c r="B9" s="45">
        <v>3.15</v>
      </c>
      <c r="C9" s="45">
        <v>0.042467</v>
      </c>
      <c r="D9" s="45">
        <v>0.031809</v>
      </c>
      <c r="E9" s="45">
        <v>0.037138</v>
      </c>
    </row>
    <row r="10" ht="22.5" customHeight="1">
      <c r="A10" s="45">
        <v>1744.0</v>
      </c>
      <c r="B10" s="45">
        <v>3.3</v>
      </c>
      <c r="C10" s="45">
        <v>0.053086</v>
      </c>
      <c r="D10" s="45">
        <v>0.045933</v>
      </c>
      <c r="E10" s="45">
        <v>0.049509</v>
      </c>
    </row>
    <row r="11" ht="22.5" customHeight="1">
      <c r="A11" s="45">
        <v>1803.0</v>
      </c>
      <c r="B11" s="45">
        <v>3.46</v>
      </c>
      <c r="C11" s="45">
        <v>0.053691</v>
      </c>
      <c r="D11" s="45">
        <v>0.046655</v>
      </c>
      <c r="E11" s="45">
        <v>0.050173</v>
      </c>
    </row>
    <row r="12" ht="22.5" customHeight="1">
      <c r="A12" s="45">
        <v>1867.0</v>
      </c>
      <c r="B12" s="45">
        <v>3.62</v>
      </c>
      <c r="C12" s="45">
        <v>0.052282</v>
      </c>
      <c r="D12" s="45">
        <v>0.046372</v>
      </c>
      <c r="E12" s="45">
        <v>0.049327</v>
      </c>
    </row>
    <row r="13" ht="22.5" customHeight="1">
      <c r="A13" s="45">
        <v>1956.0</v>
      </c>
      <c r="B13" s="45">
        <v>3.8</v>
      </c>
      <c r="C13" s="45">
        <v>0.055712</v>
      </c>
      <c r="D13" s="45">
        <v>0.048689</v>
      </c>
      <c r="E13" s="45">
        <v>0.0522</v>
      </c>
    </row>
    <row r="14" ht="22.5" customHeight="1">
      <c r="A14" s="45">
        <v>2013.0</v>
      </c>
      <c r="B14" s="45">
        <v>3.97</v>
      </c>
      <c r="C14" s="45">
        <v>0.055563</v>
      </c>
      <c r="D14" s="45">
        <v>0.049002</v>
      </c>
      <c r="E14" s="45">
        <v>0.052283</v>
      </c>
    </row>
    <row r="15" ht="22.5" customHeight="1">
      <c r="A15" s="45">
        <v>2120.0</v>
      </c>
      <c r="B15" s="45">
        <v>4.15</v>
      </c>
      <c r="C15" s="45">
        <v>0.058037</v>
      </c>
      <c r="D15" s="45">
        <v>0.052185</v>
      </c>
      <c r="E15" s="45">
        <v>0.055111</v>
      </c>
    </row>
    <row r="16" ht="22.5" customHeight="1">
      <c r="A16" s="45">
        <v>2195.0</v>
      </c>
      <c r="B16" s="45">
        <v>4.33</v>
      </c>
      <c r="C16" s="45">
        <v>0.061857</v>
      </c>
      <c r="D16" s="45">
        <v>0.053991</v>
      </c>
      <c r="E16" s="45">
        <v>0.057924</v>
      </c>
    </row>
    <row r="17" ht="22.5" customHeight="1">
      <c r="A17" s="45">
        <v>2267.0</v>
      </c>
      <c r="B17" s="45">
        <v>4.63</v>
      </c>
      <c r="C17" s="45">
        <v>0.06248</v>
      </c>
      <c r="D17" s="45">
        <v>0.056334</v>
      </c>
      <c r="E17" s="45">
        <v>0.059407</v>
      </c>
    </row>
    <row r="18" ht="22.5" customHeight="1">
      <c r="A18" s="45">
        <v>2345.0</v>
      </c>
      <c r="B18" s="45">
        <v>4.83</v>
      </c>
      <c r="C18" s="45">
        <v>0.066941</v>
      </c>
      <c r="D18" s="45">
        <v>0.055823</v>
      </c>
      <c r="E18" s="45">
        <v>0.061382</v>
      </c>
    </row>
    <row r="19" ht="22.5" customHeight="1">
      <c r="A19" s="45">
        <v>2437.0</v>
      </c>
      <c r="B19" s="45">
        <v>5.04</v>
      </c>
      <c r="C19" s="45">
        <v>0.06806</v>
      </c>
      <c r="D19" s="45">
        <v>0.055907</v>
      </c>
      <c r="E19" s="45">
        <v>0.061983</v>
      </c>
    </row>
    <row r="20" ht="22.5" customHeight="1">
      <c r="A20" s="45">
        <v>2512.0</v>
      </c>
      <c r="B20" s="45">
        <v>5.24</v>
      </c>
      <c r="C20" s="45">
        <v>0.070769</v>
      </c>
      <c r="D20" s="45">
        <v>0.057272</v>
      </c>
      <c r="E20" s="45">
        <v>0.06402</v>
      </c>
    </row>
    <row r="21" ht="22.5" customHeight="1">
      <c r="A21" s="45">
        <v>2592.0</v>
      </c>
      <c r="B21" s="45">
        <v>5.45</v>
      </c>
      <c r="C21" s="45">
        <v>0.070694</v>
      </c>
      <c r="D21" s="45">
        <v>0.058325</v>
      </c>
      <c r="E21" s="45">
        <v>0.064509</v>
      </c>
    </row>
    <row r="22" ht="22.5" customHeight="1">
      <c r="A22" s="45">
        <v>2655.0</v>
      </c>
      <c r="B22" s="45">
        <v>5.68</v>
      </c>
      <c r="C22" s="45">
        <v>0.070941</v>
      </c>
      <c r="D22" s="45">
        <v>0.058904</v>
      </c>
      <c r="E22" s="45">
        <v>0.064923</v>
      </c>
    </row>
    <row r="23" ht="22.5" customHeight="1">
      <c r="A23" s="45">
        <v>2730.0</v>
      </c>
      <c r="B23" s="45">
        <v>5.91</v>
      </c>
      <c r="C23" s="45">
        <v>0.070982</v>
      </c>
      <c r="D23" s="45">
        <v>0.059794</v>
      </c>
      <c r="E23" s="45">
        <v>0.065388</v>
      </c>
    </row>
    <row r="24" ht="22.5" customHeight="1">
      <c r="A24" s="45">
        <v>2798.0</v>
      </c>
      <c r="B24" s="45">
        <v>6.15</v>
      </c>
      <c r="C24" s="45">
        <v>0.074332</v>
      </c>
      <c r="D24" s="45">
        <v>0.060615</v>
      </c>
      <c r="E24" s="45">
        <v>0.067473</v>
      </c>
    </row>
    <row r="25" ht="22.5" customHeight="1">
      <c r="A25" s="45">
        <v>2882.0</v>
      </c>
      <c r="B25" s="45">
        <v>6.39</v>
      </c>
      <c r="C25" s="45">
        <v>0.075014</v>
      </c>
      <c r="D25" s="45">
        <v>0.061681</v>
      </c>
      <c r="E25" s="45">
        <v>0.068347</v>
      </c>
    </row>
    <row r="26" ht="22.5" customHeight="1">
      <c r="A26" s="45">
        <v>2937.0</v>
      </c>
      <c r="B26" s="45">
        <v>6.64</v>
      </c>
      <c r="C26" s="45">
        <v>0.074949</v>
      </c>
      <c r="D26" s="45">
        <v>0.061842</v>
      </c>
      <c r="E26" s="45">
        <v>0.068396</v>
      </c>
    </row>
    <row r="27" ht="22.5" customHeight="1">
      <c r="A27" s="45">
        <v>3024.0</v>
      </c>
      <c r="B27" s="45">
        <v>6.9</v>
      </c>
      <c r="C27" s="45">
        <v>0.076536</v>
      </c>
      <c r="D27" s="45">
        <v>0.069132</v>
      </c>
      <c r="E27" s="45">
        <v>0.072834</v>
      </c>
    </row>
    <row r="28" ht="22.5" customHeight="1">
      <c r="A28" s="45">
        <v>3086.0</v>
      </c>
      <c r="B28" s="45">
        <v>7.16</v>
      </c>
      <c r="C28" s="45">
        <v>0.076748</v>
      </c>
      <c r="D28" s="45">
        <v>0.069971</v>
      </c>
      <c r="E28" s="45">
        <v>0.073359</v>
      </c>
    </row>
    <row r="29" ht="22.5" customHeight="1">
      <c r="A29" s="45">
        <v>3150.0</v>
      </c>
      <c r="B29" s="45">
        <v>7.43</v>
      </c>
      <c r="C29" s="45">
        <v>0.076726</v>
      </c>
      <c r="D29" s="45">
        <v>0.070677</v>
      </c>
      <c r="E29" s="45">
        <v>0.073701</v>
      </c>
    </row>
    <row r="30" ht="22.5" customHeight="1">
      <c r="A30" s="45">
        <v>3207.0</v>
      </c>
      <c r="B30" s="45">
        <v>7.7</v>
      </c>
      <c r="C30" s="45">
        <v>0.077011</v>
      </c>
      <c r="D30" s="45">
        <v>0.07141</v>
      </c>
      <c r="E30" s="45">
        <v>0.074211</v>
      </c>
    </row>
    <row r="31" ht="22.5" customHeight="1">
      <c r="A31" s="45">
        <v>3265.0</v>
      </c>
      <c r="B31" s="45">
        <v>7.99</v>
      </c>
      <c r="C31" s="45">
        <v>0.07814</v>
      </c>
      <c r="D31" s="45">
        <v>0.071543</v>
      </c>
      <c r="E31" s="45">
        <v>0.074841</v>
      </c>
    </row>
    <row r="32" ht="22.5" customHeight="1">
      <c r="A32" s="45">
        <v>3320.0</v>
      </c>
      <c r="B32" s="45">
        <v>8.28</v>
      </c>
      <c r="C32" s="45">
        <v>0.081199</v>
      </c>
      <c r="D32" s="45">
        <v>0.071766</v>
      </c>
      <c r="E32" s="45">
        <v>0.076483</v>
      </c>
    </row>
    <row r="33" ht="22.5" customHeight="1">
      <c r="A33" s="45">
        <v>3417.0</v>
      </c>
      <c r="B33" s="45">
        <v>8.57</v>
      </c>
      <c r="C33" s="45">
        <v>0.083894</v>
      </c>
      <c r="D33" s="45">
        <v>0.079276</v>
      </c>
      <c r="E33" s="45">
        <v>0.081585</v>
      </c>
    </row>
    <row r="34" ht="22.5" customHeight="1">
      <c r="A34" s="45">
        <v>3471.0</v>
      </c>
      <c r="B34" s="45">
        <v>8.87</v>
      </c>
      <c r="C34" s="45">
        <v>0.08403</v>
      </c>
      <c r="D34" s="45">
        <v>0.07915</v>
      </c>
      <c r="E34" s="45">
        <v>0.08159</v>
      </c>
    </row>
    <row r="35" ht="22.5" customHeight="1">
      <c r="A35" s="45">
        <v>3548.0</v>
      </c>
      <c r="B35" s="45">
        <v>9.16</v>
      </c>
      <c r="C35" s="45">
        <v>0.086789</v>
      </c>
      <c r="D35" s="45">
        <v>0.078237</v>
      </c>
      <c r="E35" s="45">
        <v>0.082513</v>
      </c>
    </row>
    <row r="36" ht="22.5" customHeight="1">
      <c r="A36" s="45">
        <v>3630.0</v>
      </c>
      <c r="B36" s="45">
        <v>9.47</v>
      </c>
      <c r="C36" s="45">
        <v>0.088023</v>
      </c>
      <c r="D36" s="45">
        <v>0.085783</v>
      </c>
      <c r="E36" s="45">
        <v>0.086903</v>
      </c>
    </row>
    <row r="37" ht="22.5" customHeight="1">
      <c r="A37" s="45">
        <v>3689.0</v>
      </c>
      <c r="B37" s="45">
        <v>9.79</v>
      </c>
      <c r="C37" s="45">
        <v>0.08826</v>
      </c>
      <c r="D37" s="45">
        <v>0.086052</v>
      </c>
      <c r="E37" s="45">
        <v>0.087156</v>
      </c>
    </row>
    <row r="38" ht="22.5" customHeight="1">
      <c r="A38" s="45">
        <v>3750.0</v>
      </c>
      <c r="B38" s="45">
        <v>10.1</v>
      </c>
      <c r="C38" s="45">
        <v>0.08871</v>
      </c>
      <c r="D38" s="45">
        <v>0.086078</v>
      </c>
      <c r="E38" s="45">
        <v>0.087394</v>
      </c>
    </row>
    <row r="39" ht="22.5" customHeight="1">
      <c r="A39" s="45">
        <v>3808.0</v>
      </c>
      <c r="B39" s="45">
        <v>10.42</v>
      </c>
      <c r="C39" s="45">
        <v>0.088947</v>
      </c>
      <c r="D39" s="45">
        <v>0.086364</v>
      </c>
      <c r="E39" s="45">
        <v>0.087656</v>
      </c>
    </row>
    <row r="40" ht="22.5" customHeight="1">
      <c r="A40" s="45">
        <v>3874.0</v>
      </c>
      <c r="B40" s="45">
        <v>10.74</v>
      </c>
      <c r="C40" s="45">
        <v>0.089407</v>
      </c>
      <c r="D40" s="45">
        <v>0.086935</v>
      </c>
      <c r="E40" s="45">
        <v>0.088171</v>
      </c>
    </row>
    <row r="41" ht="22.5" customHeight="1">
      <c r="A41" s="45">
        <v>3935.0</v>
      </c>
      <c r="B41" s="45">
        <v>11.08</v>
      </c>
      <c r="C41" s="45">
        <v>0.089833</v>
      </c>
      <c r="D41" s="45">
        <v>0.086704</v>
      </c>
      <c r="E41" s="45">
        <v>0.088268</v>
      </c>
    </row>
    <row r="42" ht="22.5" customHeight="1">
      <c r="A42" s="45">
        <v>3989.0</v>
      </c>
      <c r="B42" s="45">
        <v>11.41</v>
      </c>
      <c r="C42" s="45">
        <v>0.090341</v>
      </c>
      <c r="D42" s="45">
        <v>0.087066</v>
      </c>
      <c r="E42" s="45">
        <v>0.088704</v>
      </c>
    </row>
    <row r="43" ht="22.5" customHeight="1">
      <c r="A43" s="45">
        <v>4074.0</v>
      </c>
      <c r="B43" s="45">
        <v>11.75</v>
      </c>
      <c r="C43" s="45">
        <v>0.094487</v>
      </c>
      <c r="D43" s="45">
        <v>0.086182</v>
      </c>
      <c r="E43" s="45">
        <v>0.090335</v>
      </c>
    </row>
    <row r="44" ht="22.5" customHeight="1">
      <c r="A44" s="45">
        <v>4163.0</v>
      </c>
      <c r="B44" s="45">
        <v>12.12</v>
      </c>
      <c r="C44" s="45">
        <v>0.095102</v>
      </c>
      <c r="D44" s="45">
        <v>0.094041</v>
      </c>
      <c r="E44" s="45">
        <v>0.094571</v>
      </c>
    </row>
    <row r="45" ht="22.5" customHeight="1">
      <c r="A45" s="45">
        <v>4261.0</v>
      </c>
      <c r="B45" s="45">
        <v>12.48</v>
      </c>
      <c r="C45" s="45">
        <v>0.101111</v>
      </c>
      <c r="D45" s="45">
        <v>0.115628</v>
      </c>
      <c r="E45" s="45">
        <v>0.108369</v>
      </c>
    </row>
    <row r="46" ht="22.5" customHeight="1">
      <c r="A46" s="45">
        <v>4332.0</v>
      </c>
      <c r="B46" s="45">
        <v>12.85</v>
      </c>
      <c r="C46" s="45">
        <v>0.102996</v>
      </c>
      <c r="D46" s="45">
        <v>0.123257</v>
      </c>
      <c r="E46" s="45">
        <v>0.113127</v>
      </c>
    </row>
    <row r="47" ht="22.5" customHeight="1">
      <c r="A47" s="45">
        <v>4386.0</v>
      </c>
      <c r="B47" s="45">
        <v>13.21</v>
      </c>
      <c r="C47" s="45">
        <v>0.102897</v>
      </c>
      <c r="D47" s="45">
        <v>0.123507</v>
      </c>
      <c r="E47" s="45">
        <v>0.113202</v>
      </c>
    </row>
    <row r="48" ht="22.5" customHeight="1">
      <c r="A48" s="45">
        <v>4499.0</v>
      </c>
      <c r="B48" s="45">
        <v>13.59</v>
      </c>
      <c r="C48" s="45">
        <v>0.106946</v>
      </c>
      <c r="D48" s="45">
        <v>0.123187</v>
      </c>
      <c r="E48" s="45">
        <v>0.115066</v>
      </c>
    </row>
    <row r="49" ht="22.5" customHeight="1">
      <c r="A49" s="45">
        <v>4589.0</v>
      </c>
      <c r="B49" s="45">
        <v>13.96</v>
      </c>
      <c r="C49" s="45">
        <v>0.107478</v>
      </c>
      <c r="D49" s="45">
        <v>0.124039</v>
      </c>
      <c r="E49" s="45">
        <v>0.115758</v>
      </c>
    </row>
    <row r="50" ht="22.5" customHeight="1">
      <c r="A50" s="45">
        <v>4651.0</v>
      </c>
      <c r="B50" s="45">
        <v>14.34</v>
      </c>
      <c r="C50" s="45">
        <v>0.107755</v>
      </c>
      <c r="D50" s="45">
        <v>0.124004</v>
      </c>
      <c r="E50" s="45">
        <v>0.11588</v>
      </c>
    </row>
    <row r="51" ht="22.5" customHeight="1">
      <c r="A51" s="45">
        <v>4727.0</v>
      </c>
      <c r="B51" s="45">
        <v>14.73</v>
      </c>
      <c r="C51" s="45">
        <v>0.11055</v>
      </c>
      <c r="D51" s="45">
        <v>0.123043</v>
      </c>
      <c r="E51" s="45">
        <v>0.116796</v>
      </c>
    </row>
    <row r="52" ht="22.5" customHeight="1">
      <c r="A52" s="45">
        <v>4802.0</v>
      </c>
      <c r="B52" s="45">
        <v>15.12</v>
      </c>
      <c r="C52" s="45">
        <v>0.111936</v>
      </c>
      <c r="D52" s="45">
        <v>0.12267</v>
      </c>
      <c r="E52" s="45">
        <v>0.117303</v>
      </c>
    </row>
    <row r="53" ht="22.5" customHeight="1">
      <c r="A53" s="45">
        <v>4865.0</v>
      </c>
      <c r="B53" s="45">
        <v>15.52</v>
      </c>
      <c r="C53" s="45">
        <v>0.112508</v>
      </c>
      <c r="D53" s="45">
        <v>0.122748</v>
      </c>
      <c r="E53" s="45">
        <v>0.117628</v>
      </c>
    </row>
    <row r="54" ht="22.5" customHeight="1">
      <c r="A54" s="45">
        <v>4929.0</v>
      </c>
      <c r="B54" s="45">
        <v>15.94</v>
      </c>
      <c r="C54" s="45">
        <v>0.114272</v>
      </c>
      <c r="D54" s="45">
        <v>0.122732</v>
      </c>
      <c r="E54" s="45">
        <v>0.118502</v>
      </c>
    </row>
    <row r="55" ht="22.5" customHeight="1">
      <c r="A55" s="45">
        <v>4997.0</v>
      </c>
      <c r="B55" s="45">
        <v>16.37</v>
      </c>
      <c r="C55" s="45">
        <v>0.115812</v>
      </c>
      <c r="D55" s="45">
        <v>0.122777</v>
      </c>
      <c r="E55" s="45">
        <v>0.119294</v>
      </c>
    </row>
    <row r="56" ht="22.5" customHeight="1">
      <c r="A56" s="45">
        <v>5056.0</v>
      </c>
      <c r="B56" s="45">
        <v>16.79</v>
      </c>
      <c r="C56" s="45">
        <v>0.116181</v>
      </c>
      <c r="D56" s="45">
        <v>0.123336</v>
      </c>
      <c r="E56" s="45">
        <v>0.119758</v>
      </c>
    </row>
    <row r="57" ht="22.5" customHeight="1">
      <c r="A57" s="45">
        <v>5125.0</v>
      </c>
      <c r="B57" s="45">
        <v>17.23</v>
      </c>
      <c r="C57" s="45">
        <v>0.116603</v>
      </c>
      <c r="D57" s="45">
        <v>0.123868</v>
      </c>
      <c r="E57" s="45">
        <v>0.120236</v>
      </c>
    </row>
    <row r="58" ht="22.5" customHeight="1">
      <c r="A58" s="45">
        <v>5227.0</v>
      </c>
      <c r="B58" s="45">
        <v>17.67</v>
      </c>
      <c r="C58" s="45">
        <v>0.12018</v>
      </c>
      <c r="D58" s="45">
        <v>0.123266</v>
      </c>
      <c r="E58" s="45">
        <v>0.121723</v>
      </c>
    </row>
    <row r="59" ht="22.5" customHeight="1">
      <c r="A59" s="45">
        <v>5320.0</v>
      </c>
      <c r="B59" s="45">
        <v>18.11</v>
      </c>
      <c r="C59" s="45">
        <v>0.121124</v>
      </c>
      <c r="D59" s="45">
        <v>0.12319</v>
      </c>
      <c r="E59" s="45">
        <v>0.122157</v>
      </c>
    </row>
    <row r="60" ht="22.5" customHeight="1">
      <c r="A60" s="45">
        <v>5409.0</v>
      </c>
      <c r="B60" s="45">
        <v>18.56</v>
      </c>
      <c r="C60" s="45">
        <v>0.124449</v>
      </c>
      <c r="D60" s="45">
        <v>0.122695</v>
      </c>
      <c r="E60" s="45">
        <v>0.123572</v>
      </c>
    </row>
    <row r="61" ht="22.5" customHeight="1">
      <c r="A61" s="45">
        <v>5475.0</v>
      </c>
      <c r="B61" s="45">
        <v>19.01</v>
      </c>
      <c r="C61" s="45">
        <v>0.126176</v>
      </c>
      <c r="D61" s="45">
        <v>0.122261</v>
      </c>
      <c r="E61" s="45">
        <v>0.124218</v>
      </c>
    </row>
    <row r="62" ht="22.5" customHeight="1">
      <c r="A62" s="45">
        <v>5547.0</v>
      </c>
      <c r="B62" s="45">
        <v>19.46</v>
      </c>
      <c r="C62" s="45">
        <v>0.127587</v>
      </c>
      <c r="D62" s="45">
        <v>0.122085</v>
      </c>
      <c r="E62" s="45">
        <v>0.124836</v>
      </c>
    </row>
    <row r="63" ht="22.5" customHeight="1">
      <c r="A63" s="45">
        <v>5612.0</v>
      </c>
      <c r="B63" s="45">
        <v>19.93</v>
      </c>
      <c r="C63" s="45">
        <v>0.126477</v>
      </c>
      <c r="D63" s="45">
        <v>0.122171</v>
      </c>
      <c r="E63" s="45">
        <v>0.124324</v>
      </c>
    </row>
    <row r="64" ht="22.5" customHeight="1">
      <c r="A64" s="45">
        <v>5682.0</v>
      </c>
      <c r="B64" s="45">
        <v>20.39</v>
      </c>
      <c r="C64" s="45">
        <v>0.127821</v>
      </c>
      <c r="D64" s="45">
        <v>0.122033</v>
      </c>
      <c r="E64" s="45">
        <v>0.124927</v>
      </c>
    </row>
    <row r="65" ht="22.5" customHeight="1">
      <c r="A65" s="45">
        <v>5753.0</v>
      </c>
      <c r="B65" s="45">
        <v>20.87</v>
      </c>
      <c r="C65" s="45">
        <v>0.129538</v>
      </c>
      <c r="D65" s="45">
        <v>0.121804</v>
      </c>
      <c r="E65" s="45">
        <v>0.125671</v>
      </c>
    </row>
    <row r="66" ht="22.5" customHeight="1">
      <c r="A66" s="45">
        <v>5816.0</v>
      </c>
      <c r="B66" s="45">
        <v>21.38</v>
      </c>
      <c r="C66" s="45">
        <v>0.129489</v>
      </c>
      <c r="D66" s="45">
        <v>0.121869</v>
      </c>
      <c r="E66" s="45">
        <v>0.125679</v>
      </c>
    </row>
    <row r="67" ht="22.5" customHeight="1">
      <c r="A67" s="45">
        <v>5876.0</v>
      </c>
      <c r="B67" s="45">
        <v>21.99</v>
      </c>
      <c r="C67" s="45">
        <v>0.130282</v>
      </c>
      <c r="D67" s="45">
        <v>0.121915</v>
      </c>
      <c r="E67" s="45">
        <v>0.126099</v>
      </c>
    </row>
    <row r="68" ht="22.5" customHeight="1">
      <c r="A68" s="45">
        <v>5941.0</v>
      </c>
      <c r="B68" s="45">
        <v>22.48</v>
      </c>
      <c r="C68" s="45">
        <v>0.131314</v>
      </c>
      <c r="D68" s="45">
        <v>0.121775</v>
      </c>
      <c r="E68" s="45">
        <v>0.126544</v>
      </c>
    </row>
    <row r="69" ht="22.5" customHeight="1">
      <c r="A69" s="45">
        <v>6008.0</v>
      </c>
      <c r="B69" s="45">
        <v>23.0</v>
      </c>
      <c r="C69" s="45">
        <v>0.132065</v>
      </c>
      <c r="D69" s="45">
        <v>0.121807</v>
      </c>
      <c r="E69" s="45">
        <v>0.126936</v>
      </c>
    </row>
    <row r="70" ht="22.5" customHeight="1">
      <c r="A70" s="45">
        <v>6096.0</v>
      </c>
      <c r="B70" s="45">
        <v>23.52</v>
      </c>
      <c r="C70" s="45">
        <v>0.132345</v>
      </c>
      <c r="D70" s="45">
        <v>0.121743</v>
      </c>
      <c r="E70" s="45">
        <v>0.127044</v>
      </c>
    </row>
    <row r="71" ht="22.5" customHeight="1">
      <c r="A71" s="45">
        <v>6187.0</v>
      </c>
      <c r="B71" s="45">
        <v>24.05</v>
      </c>
      <c r="C71" s="45">
        <v>0.13298</v>
      </c>
      <c r="D71" s="45">
        <v>0.121537</v>
      </c>
      <c r="E71" s="45">
        <v>0.127258</v>
      </c>
    </row>
    <row r="72" ht="22.5" customHeight="1">
      <c r="A72" s="45">
        <v>6255.0</v>
      </c>
      <c r="B72" s="45">
        <v>24.57</v>
      </c>
      <c r="C72" s="45">
        <v>0.133756</v>
      </c>
      <c r="D72" s="45">
        <v>0.121645</v>
      </c>
      <c r="E72" s="45">
        <v>0.1277</v>
      </c>
    </row>
    <row r="73" ht="22.5" customHeight="1">
      <c r="A73" s="45">
        <v>6318.0</v>
      </c>
      <c r="B73" s="45">
        <v>25.1</v>
      </c>
      <c r="C73" s="45">
        <v>0.134724</v>
      </c>
      <c r="D73" s="45">
        <v>0.121432</v>
      </c>
      <c r="E73" s="45">
        <v>0.128078</v>
      </c>
    </row>
    <row r="74" ht="22.5" customHeight="1">
      <c r="A74" s="45">
        <v>6386.0</v>
      </c>
      <c r="B74" s="45">
        <v>25.65</v>
      </c>
      <c r="C74" s="45">
        <v>0.134373</v>
      </c>
      <c r="D74" s="45">
        <v>0.121685</v>
      </c>
      <c r="E74" s="45">
        <v>0.128029</v>
      </c>
    </row>
    <row r="75" ht="22.5" customHeight="1">
      <c r="A75" s="45">
        <v>6457.0</v>
      </c>
      <c r="B75" s="45">
        <v>26.24</v>
      </c>
      <c r="C75" s="45">
        <v>0.135219</v>
      </c>
      <c r="D75" s="45">
        <v>0.12175</v>
      </c>
      <c r="E75" s="45">
        <v>0.128484</v>
      </c>
    </row>
    <row r="76" ht="22.5" customHeight="1">
      <c r="A76" s="45">
        <v>6544.0</v>
      </c>
      <c r="B76" s="45">
        <v>26.78</v>
      </c>
      <c r="C76" s="45">
        <v>0.135332</v>
      </c>
      <c r="D76" s="45">
        <v>0.121885</v>
      </c>
      <c r="E76" s="45">
        <v>0.128609</v>
      </c>
    </row>
    <row r="77" ht="22.5" customHeight="1">
      <c r="A77" s="45">
        <v>6613.0</v>
      </c>
      <c r="B77" s="45">
        <v>27.35</v>
      </c>
      <c r="C77" s="45">
        <v>0.136201</v>
      </c>
      <c r="D77" s="45">
        <v>0.121584</v>
      </c>
      <c r="E77" s="45">
        <v>0.128892</v>
      </c>
    </row>
    <row r="78" ht="22.5" customHeight="1">
      <c r="A78" s="45">
        <v>6707.0</v>
      </c>
      <c r="B78" s="45">
        <v>27.93</v>
      </c>
      <c r="C78" s="45">
        <v>0.136809</v>
      </c>
      <c r="D78" s="45">
        <v>0.121583</v>
      </c>
      <c r="E78" s="45">
        <v>0.129196</v>
      </c>
    </row>
    <row r="79" ht="22.5" customHeight="1">
      <c r="A79" s="45">
        <v>6772.0</v>
      </c>
      <c r="B79" s="45">
        <v>28.51</v>
      </c>
      <c r="C79" s="45">
        <v>0.137469</v>
      </c>
      <c r="D79" s="45">
        <v>0.12061</v>
      </c>
      <c r="E79" s="45">
        <v>0.129039</v>
      </c>
    </row>
    <row r="80" ht="22.5" customHeight="1">
      <c r="A80" s="45">
        <v>6829.0</v>
      </c>
      <c r="B80" s="45">
        <v>29.1</v>
      </c>
      <c r="C80" s="45">
        <v>0.137521</v>
      </c>
      <c r="D80" s="45">
        <v>0.120597</v>
      </c>
      <c r="E80" s="45">
        <v>0.129059</v>
      </c>
    </row>
    <row r="81" ht="22.5" customHeight="1">
      <c r="A81" s="45">
        <v>6891.0</v>
      </c>
      <c r="B81" s="45">
        <v>29.7</v>
      </c>
      <c r="C81" s="45">
        <v>0.138087</v>
      </c>
      <c r="D81" s="45">
        <v>0.120879</v>
      </c>
      <c r="E81" s="45">
        <v>0.129483</v>
      </c>
    </row>
    <row r="82" ht="22.5" customHeight="1">
      <c r="A82" s="45">
        <v>6993.0</v>
      </c>
      <c r="B82" s="45">
        <v>30.31</v>
      </c>
      <c r="C82" s="45">
        <v>0.138266</v>
      </c>
      <c r="D82" s="45">
        <v>0.121071</v>
      </c>
      <c r="E82" s="45">
        <v>0.129669</v>
      </c>
    </row>
    <row r="83" ht="22.5" customHeight="1">
      <c r="A83" s="45">
        <v>7065.0</v>
      </c>
      <c r="B83" s="45">
        <v>30.92</v>
      </c>
      <c r="C83" s="45">
        <v>0.139473</v>
      </c>
      <c r="D83" s="45">
        <v>0.120839</v>
      </c>
      <c r="E83" s="45">
        <v>0.130156</v>
      </c>
    </row>
    <row r="84" ht="22.5" customHeight="1">
      <c r="A84" s="45">
        <v>7143.0</v>
      </c>
      <c r="B84" s="45">
        <v>31.53</v>
      </c>
      <c r="C84" s="45">
        <v>0.140744</v>
      </c>
      <c r="D84" s="45">
        <v>0.120835</v>
      </c>
      <c r="E84" s="45">
        <v>0.130789</v>
      </c>
    </row>
    <row r="85" ht="22.5" customHeight="1">
      <c r="A85" s="45">
        <v>7244.0</v>
      </c>
      <c r="B85" s="45">
        <v>32.16</v>
      </c>
      <c r="C85" s="45">
        <v>0.144432</v>
      </c>
      <c r="D85" s="45">
        <v>0.127985</v>
      </c>
      <c r="E85" s="45">
        <v>0.136208</v>
      </c>
    </row>
    <row r="86" ht="22.5" customHeight="1">
      <c r="A86" s="45">
        <v>7321.0</v>
      </c>
      <c r="B86" s="45">
        <v>32.88</v>
      </c>
      <c r="C86" s="45">
        <v>0.145093</v>
      </c>
      <c r="D86" s="45">
        <v>0.128104</v>
      </c>
      <c r="E86" s="45">
        <v>0.136598</v>
      </c>
    </row>
    <row r="87" ht="22.5" customHeight="1">
      <c r="A87" s="45">
        <v>7386.0</v>
      </c>
      <c r="B87" s="45">
        <v>33.52</v>
      </c>
      <c r="C87" s="45">
        <v>0.145159</v>
      </c>
      <c r="D87" s="45">
        <v>0.128128</v>
      </c>
      <c r="E87" s="45">
        <v>0.136644</v>
      </c>
    </row>
    <row r="88" ht="22.5" customHeight="1">
      <c r="A88" s="45">
        <v>7450.0</v>
      </c>
      <c r="B88" s="45">
        <v>34.17</v>
      </c>
      <c r="C88" s="45">
        <v>0.145529</v>
      </c>
      <c r="D88" s="45">
        <v>0.128199</v>
      </c>
      <c r="E88" s="45">
        <v>0.136864</v>
      </c>
    </row>
    <row r="89" ht="22.5" customHeight="1">
      <c r="A89" s="45">
        <v>7510.0</v>
      </c>
      <c r="B89" s="45">
        <v>34.82</v>
      </c>
      <c r="C89" s="45">
        <v>0.145948</v>
      </c>
      <c r="D89" s="45">
        <v>0.128202</v>
      </c>
      <c r="E89" s="45">
        <v>0.137075</v>
      </c>
    </row>
    <row r="90" ht="22.5" customHeight="1">
      <c r="A90" s="45">
        <v>7602.0</v>
      </c>
      <c r="B90" s="45">
        <v>35.48</v>
      </c>
      <c r="C90" s="45">
        <v>0.147668</v>
      </c>
      <c r="D90" s="45">
        <v>0.127855</v>
      </c>
      <c r="E90" s="45">
        <v>0.137762</v>
      </c>
    </row>
    <row r="91" ht="22.5" customHeight="1">
      <c r="A91" s="45">
        <v>7659.0</v>
      </c>
      <c r="B91" s="45">
        <v>36.13</v>
      </c>
      <c r="C91" s="45">
        <v>0.147945</v>
      </c>
      <c r="D91" s="45">
        <v>0.127823</v>
      </c>
      <c r="E91" s="45">
        <v>0.137884</v>
      </c>
    </row>
    <row r="92" ht="22.5" customHeight="1">
      <c r="A92" s="45">
        <v>7750.0</v>
      </c>
      <c r="B92" s="45">
        <v>36.83</v>
      </c>
      <c r="C92" s="45">
        <v>0.148285</v>
      </c>
      <c r="D92" s="45">
        <v>0.127919</v>
      </c>
      <c r="E92" s="45">
        <v>0.138102</v>
      </c>
    </row>
    <row r="93" ht="22.5" customHeight="1">
      <c r="A93" s="45">
        <v>7815.0</v>
      </c>
      <c r="B93" s="45">
        <v>37.51</v>
      </c>
      <c r="C93" s="45">
        <v>0.149629</v>
      </c>
      <c r="D93" s="45">
        <v>0.127733</v>
      </c>
      <c r="E93" s="45">
        <v>0.138681</v>
      </c>
    </row>
    <row r="94" ht="22.5" customHeight="1">
      <c r="A94" s="45">
        <v>7879.0</v>
      </c>
      <c r="B94" s="45">
        <v>38.21</v>
      </c>
      <c r="C94" s="45">
        <v>0.150169</v>
      </c>
      <c r="D94" s="45">
        <v>0.12769</v>
      </c>
      <c r="E94" s="45">
        <v>0.13893</v>
      </c>
    </row>
    <row r="95" ht="22.5" customHeight="1">
      <c r="A95" s="45">
        <v>7942.0</v>
      </c>
      <c r="B95" s="45">
        <v>38.92</v>
      </c>
      <c r="C95" s="45">
        <v>0.150164</v>
      </c>
      <c r="D95" s="45">
        <v>0.127657</v>
      </c>
      <c r="E95" s="45">
        <v>0.13891</v>
      </c>
    </row>
    <row r="96" ht="22.5" customHeight="1">
      <c r="A96" s="45">
        <v>7998.0</v>
      </c>
      <c r="B96" s="45">
        <v>39.64</v>
      </c>
      <c r="C96" s="45">
        <v>0.150164</v>
      </c>
      <c r="D96" s="45">
        <v>0.127657</v>
      </c>
      <c r="E96" s="45">
        <v>0.13891</v>
      </c>
    </row>
    <row r="98">
      <c r="C98" s="33" t="s">
        <v>44</v>
      </c>
      <c r="D98" s="33">
        <v>0.124638</v>
      </c>
    </row>
    <row r="100" ht="22.5" customHeight="1">
      <c r="A100" s="4" t="s">
        <v>45</v>
      </c>
      <c r="B100" s="4" t="s">
        <v>46</v>
      </c>
      <c r="C100" s="4" t="s">
        <v>47</v>
      </c>
      <c r="D100" s="29" t="s">
        <v>48</v>
      </c>
      <c r="E100" s="29" t="s">
        <v>49</v>
      </c>
      <c r="F100" s="4" t="s">
        <v>39</v>
      </c>
      <c r="G100" s="4" t="s">
        <v>50</v>
      </c>
    </row>
    <row r="101" ht="22.5" customHeight="1">
      <c r="A101" s="37">
        <v>1.0</v>
      </c>
      <c r="B101" s="37">
        <v>6784.0</v>
      </c>
      <c r="C101" s="68">
        <v>0.133417</v>
      </c>
      <c r="D101" s="36">
        <f t="shared" ref="D101:D106" si="1">abs(C101-D$98)^2</f>
        <v>0.000077070841</v>
      </c>
      <c r="E101" s="36">
        <f t="shared" ref="E101:E106" si="2">(C101-C$107/6)^2</f>
        <v>0.0000007844054444</v>
      </c>
      <c r="F101" s="37">
        <v>29.47</v>
      </c>
      <c r="G101" s="55">
        <f t="shared" ref="G101:G106" si="3">ABS(C101-D$98)/D$98</f>
        <v>0.07043598261</v>
      </c>
    </row>
    <row r="102" ht="22.5" customHeight="1">
      <c r="A102" s="37">
        <v>2.0</v>
      </c>
      <c r="B102" s="37">
        <v>7245.0</v>
      </c>
      <c r="C102" s="68">
        <v>0.134186</v>
      </c>
      <c r="D102" s="36">
        <f t="shared" si="1"/>
        <v>0.000091164304</v>
      </c>
      <c r="E102" s="36">
        <f t="shared" si="2"/>
        <v>0.000002737921778</v>
      </c>
      <c r="F102" s="37">
        <v>36.25</v>
      </c>
      <c r="G102" s="55">
        <f t="shared" si="3"/>
        <v>0.07660585054</v>
      </c>
    </row>
    <row r="103" ht="22.5" customHeight="1">
      <c r="A103" s="37">
        <v>3.0</v>
      </c>
      <c r="B103" s="37">
        <v>6586.0</v>
      </c>
      <c r="C103" s="68">
        <v>0.127063</v>
      </c>
      <c r="D103" s="36">
        <f t="shared" si="1"/>
        <v>0.000005880625</v>
      </c>
      <c r="E103" s="36">
        <f t="shared" si="2"/>
        <v>0.00002990266944</v>
      </c>
      <c r="F103" s="37">
        <v>27.77</v>
      </c>
      <c r="G103" s="55">
        <f t="shared" si="3"/>
        <v>0.01945634558</v>
      </c>
    </row>
    <row r="104" ht="22.5" customHeight="1">
      <c r="A104" s="71">
        <v>4.0</v>
      </c>
      <c r="B104" s="72">
        <v>6772.0</v>
      </c>
      <c r="C104" s="73">
        <v>0.129285</v>
      </c>
      <c r="D104" s="74">
        <f t="shared" si="1"/>
        <v>0.000021594609</v>
      </c>
      <c r="E104" s="36">
        <f t="shared" si="2"/>
        <v>0.00001053868011</v>
      </c>
      <c r="F104" s="72">
        <v>23.49</v>
      </c>
      <c r="G104" s="75">
        <f t="shared" si="3"/>
        <v>0.03728397439</v>
      </c>
    </row>
    <row r="105" ht="22.5" customHeight="1">
      <c r="A105" s="76">
        <v>5.0</v>
      </c>
      <c r="B105" s="77">
        <v>6717.0</v>
      </c>
      <c r="C105" s="78">
        <v>0.132327</v>
      </c>
      <c r="D105" s="79">
        <f t="shared" si="1"/>
        <v>0.000059120721</v>
      </c>
      <c r="E105" s="36">
        <f t="shared" si="2"/>
        <v>0.00000004175211111</v>
      </c>
      <c r="F105" s="77">
        <v>28.31</v>
      </c>
      <c r="G105" s="80">
        <f t="shared" si="3"/>
        <v>0.06169065614</v>
      </c>
    </row>
    <row r="106" ht="22.5" customHeight="1">
      <c r="A106" s="71">
        <v>6.0</v>
      </c>
      <c r="B106" s="45">
        <v>7998.0</v>
      </c>
      <c r="C106" s="50">
        <v>0.13891</v>
      </c>
      <c r="D106" s="74">
        <f t="shared" si="1"/>
        <v>0.000203689984</v>
      </c>
      <c r="E106" s="36">
        <f t="shared" si="2"/>
        <v>0.00004068738844</v>
      </c>
      <c r="F106" s="72">
        <v>39.64</v>
      </c>
      <c r="G106" s="75">
        <f t="shared" si="3"/>
        <v>0.1145076141</v>
      </c>
    </row>
    <row r="107" ht="22.5" customHeight="1">
      <c r="A107" s="69" t="s">
        <v>53</v>
      </c>
      <c r="B107" s="69">
        <f t="shared" ref="B107:G107" si="4">SUM(B101:B106)</f>
        <v>42102</v>
      </c>
      <c r="C107" s="70">
        <f t="shared" si="4"/>
        <v>0.795188</v>
      </c>
      <c r="D107" s="69">
        <f t="shared" si="4"/>
        <v>0.000458521084</v>
      </c>
      <c r="E107" s="69">
        <f t="shared" si="4"/>
        <v>0.00008469281733</v>
      </c>
      <c r="F107" s="69">
        <f t="shared" si="4"/>
        <v>184.93</v>
      </c>
      <c r="G107" s="69">
        <f t="shared" si="4"/>
        <v>0.3799804233</v>
      </c>
    </row>
    <row r="108">
      <c r="G108" s="58"/>
    </row>
    <row r="109">
      <c r="G109" s="58"/>
    </row>
    <row r="110">
      <c r="G110" s="58"/>
    </row>
    <row r="111">
      <c r="G111" s="58"/>
    </row>
    <row r="112">
      <c r="G112" s="58"/>
    </row>
    <row r="113">
      <c r="G113" s="58"/>
    </row>
    <row r="114">
      <c r="G114" s="58"/>
    </row>
    <row r="115">
      <c r="G115" s="58"/>
    </row>
    <row r="116">
      <c r="G116" s="58"/>
    </row>
    <row r="117">
      <c r="G117" s="58"/>
    </row>
    <row r="118">
      <c r="G118" s="58"/>
    </row>
    <row r="119">
      <c r="G119" s="58"/>
    </row>
    <row r="120">
      <c r="G120" s="58"/>
    </row>
  </sheetData>
  <dataValidations>
    <dataValidation type="custom" allowBlank="1" showDropDown="1" sqref="A101:C107 G101:G107">
      <formula1>AND(ISNUMBER(A101),(NOT(OR(NOT(ISERROR(DATEVALUE(A101))), AND(ISNUMBER(A101), LEFT(CELL("format", A101))="D")))))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13"/>
    <col customWidth="1" min="3" max="3" width="23.0"/>
    <col customWidth="1" min="4" max="4" width="22.63"/>
    <col customWidth="1" min="5" max="5" width="23.5"/>
    <col customWidth="1" min="6" max="6" width="19.88"/>
    <col customWidth="1" min="7" max="7" width="18.25"/>
  </cols>
  <sheetData>
    <row r="1" ht="22.5" customHeight="1">
      <c r="A1" s="28" t="s">
        <v>38</v>
      </c>
      <c r="B1" s="28" t="s">
        <v>39</v>
      </c>
      <c r="C1" s="28" t="s">
        <v>40</v>
      </c>
      <c r="D1" s="29" t="s">
        <v>41</v>
      </c>
      <c r="E1" s="29" t="s">
        <v>42</v>
      </c>
    </row>
    <row r="2" ht="22.5" customHeight="1">
      <c r="A2" s="45">
        <v>516.0</v>
      </c>
      <c r="B2" s="45">
        <v>2.05</v>
      </c>
      <c r="C2" s="45">
        <v>0.005706</v>
      </c>
      <c r="D2" s="45">
        <v>0.007299</v>
      </c>
      <c r="E2" s="45">
        <v>0.006502</v>
      </c>
    </row>
    <row r="3" ht="22.5" customHeight="1">
      <c r="A3" s="45">
        <v>695.0</v>
      </c>
      <c r="B3" s="45">
        <v>2.16</v>
      </c>
      <c r="C3" s="45">
        <v>0.011758</v>
      </c>
      <c r="D3" s="45">
        <v>0.01009</v>
      </c>
      <c r="E3" s="45">
        <v>0.010924</v>
      </c>
    </row>
    <row r="4" ht="22.5" customHeight="1">
      <c r="A4" s="45">
        <v>882.0</v>
      </c>
      <c r="B4" s="45">
        <v>2.26</v>
      </c>
      <c r="C4" s="45">
        <v>0.015206</v>
      </c>
      <c r="D4" s="45">
        <v>0.011758</v>
      </c>
      <c r="E4" s="45">
        <v>0.013482</v>
      </c>
    </row>
    <row r="5" ht="22.5" customHeight="1">
      <c r="A5" s="45">
        <v>912.0</v>
      </c>
      <c r="B5" s="45">
        <v>2.38</v>
      </c>
      <c r="C5" s="45">
        <v>0.015593</v>
      </c>
      <c r="D5" s="45">
        <v>0.011926</v>
      </c>
      <c r="E5" s="45">
        <v>0.01376</v>
      </c>
    </row>
    <row r="6" ht="22.5" customHeight="1">
      <c r="A6" s="45">
        <v>1211.0</v>
      </c>
      <c r="B6" s="45">
        <v>2.5</v>
      </c>
      <c r="C6" s="45">
        <v>0.019704</v>
      </c>
      <c r="D6" s="45">
        <v>0.030454</v>
      </c>
      <c r="E6" s="45">
        <v>0.025079</v>
      </c>
    </row>
    <row r="7" ht="22.5" customHeight="1">
      <c r="A7" s="45">
        <v>1280.0</v>
      </c>
      <c r="B7" s="45">
        <v>2.64</v>
      </c>
      <c r="C7" s="45">
        <v>0.023202</v>
      </c>
      <c r="D7" s="45">
        <v>0.031516</v>
      </c>
      <c r="E7" s="45">
        <v>0.027359</v>
      </c>
    </row>
    <row r="8" ht="22.5" customHeight="1">
      <c r="A8" s="45">
        <v>1329.0</v>
      </c>
      <c r="B8" s="45">
        <v>2.78</v>
      </c>
      <c r="C8" s="45">
        <v>0.02087</v>
      </c>
      <c r="D8" s="45">
        <v>0.03201</v>
      </c>
      <c r="E8" s="45">
        <v>0.02644</v>
      </c>
    </row>
    <row r="9" ht="22.5" customHeight="1">
      <c r="A9" s="45">
        <v>1429.0</v>
      </c>
      <c r="B9" s="45">
        <v>2.92</v>
      </c>
      <c r="C9" s="45">
        <v>0.022463</v>
      </c>
      <c r="D9" s="45">
        <v>0.033836</v>
      </c>
      <c r="E9" s="45">
        <v>0.028149</v>
      </c>
    </row>
    <row r="10" ht="22.5" customHeight="1">
      <c r="A10" s="45">
        <v>1555.0</v>
      </c>
      <c r="B10" s="45">
        <v>3.07</v>
      </c>
      <c r="C10" s="45">
        <v>0.031568</v>
      </c>
      <c r="D10" s="45">
        <v>0.036621</v>
      </c>
      <c r="E10" s="45">
        <v>0.034094</v>
      </c>
    </row>
    <row r="11" ht="22.5" customHeight="1">
      <c r="A11" s="45">
        <v>1663.0</v>
      </c>
      <c r="B11" s="45">
        <v>3.23</v>
      </c>
      <c r="C11" s="45">
        <v>0.031968</v>
      </c>
      <c r="D11" s="45">
        <v>0.038282</v>
      </c>
      <c r="E11" s="45">
        <v>0.035125</v>
      </c>
    </row>
    <row r="12" ht="22.5" customHeight="1">
      <c r="A12" s="45">
        <v>1732.0</v>
      </c>
      <c r="B12" s="45">
        <v>3.39</v>
      </c>
      <c r="C12" s="45">
        <v>0.031391</v>
      </c>
      <c r="D12" s="45">
        <v>0.039654</v>
      </c>
      <c r="E12" s="45">
        <v>0.035523</v>
      </c>
    </row>
    <row r="13" ht="22.5" customHeight="1">
      <c r="A13" s="45">
        <v>1852.0</v>
      </c>
      <c r="B13" s="45">
        <v>3.56</v>
      </c>
      <c r="C13" s="45">
        <v>0.033286</v>
      </c>
      <c r="D13" s="45">
        <v>0.04179</v>
      </c>
      <c r="E13" s="45">
        <v>0.037538</v>
      </c>
    </row>
    <row r="14" ht="22.5" customHeight="1">
      <c r="A14" s="45">
        <v>1956.0</v>
      </c>
      <c r="B14" s="45">
        <v>3.74</v>
      </c>
      <c r="C14" s="45">
        <v>0.032923</v>
      </c>
      <c r="D14" s="45">
        <v>0.043185</v>
      </c>
      <c r="E14" s="45">
        <v>0.038054</v>
      </c>
    </row>
    <row r="15" ht="22.5" customHeight="1">
      <c r="A15" s="45">
        <v>2085.0</v>
      </c>
      <c r="B15" s="45">
        <v>3.92</v>
      </c>
      <c r="C15" s="45">
        <v>0.033943</v>
      </c>
      <c r="D15" s="45">
        <v>0.045109</v>
      </c>
      <c r="E15" s="45">
        <v>0.039526</v>
      </c>
    </row>
    <row r="16" ht="22.5" customHeight="1">
      <c r="A16" s="45">
        <v>2190.0</v>
      </c>
      <c r="B16" s="45">
        <v>4.12</v>
      </c>
      <c r="C16" s="45">
        <v>0.035632</v>
      </c>
      <c r="D16" s="45">
        <v>0.046814</v>
      </c>
      <c r="E16" s="45">
        <v>0.041223</v>
      </c>
    </row>
    <row r="17" ht="22.5" customHeight="1">
      <c r="A17" s="45">
        <v>2300.0</v>
      </c>
      <c r="B17" s="45">
        <v>4.32</v>
      </c>
      <c r="C17" s="45">
        <v>0.035749</v>
      </c>
      <c r="D17" s="45">
        <v>0.04818</v>
      </c>
      <c r="E17" s="45">
        <v>0.041964</v>
      </c>
    </row>
    <row r="18" ht="22.5" customHeight="1">
      <c r="A18" s="45">
        <v>2382.0</v>
      </c>
      <c r="B18" s="45">
        <v>4.52</v>
      </c>
      <c r="C18" s="45">
        <v>0.039073</v>
      </c>
      <c r="D18" s="45">
        <v>0.049559</v>
      </c>
      <c r="E18" s="45">
        <v>0.044316</v>
      </c>
    </row>
    <row r="19" ht="22.5" customHeight="1">
      <c r="A19" s="45">
        <v>2510.0</v>
      </c>
      <c r="B19" s="45">
        <v>4.74</v>
      </c>
      <c r="C19" s="45">
        <v>0.038844</v>
      </c>
      <c r="D19" s="45">
        <v>0.051277</v>
      </c>
      <c r="E19" s="45">
        <v>0.04506</v>
      </c>
    </row>
    <row r="20" ht="22.5" customHeight="1">
      <c r="A20" s="45">
        <v>2599.0</v>
      </c>
      <c r="B20" s="45">
        <v>4.96</v>
      </c>
      <c r="C20" s="45">
        <v>0.043838</v>
      </c>
      <c r="D20" s="45">
        <v>0.053221</v>
      </c>
      <c r="E20" s="45">
        <v>0.048529</v>
      </c>
    </row>
    <row r="21" ht="22.5" customHeight="1">
      <c r="A21" s="45">
        <v>2727.0</v>
      </c>
      <c r="B21" s="45">
        <v>5.19</v>
      </c>
      <c r="C21" s="45">
        <v>0.043802</v>
      </c>
      <c r="D21" s="45">
        <v>0.05424</v>
      </c>
      <c r="E21" s="45">
        <v>0.049021</v>
      </c>
    </row>
    <row r="22" ht="22.5" customHeight="1">
      <c r="A22" s="45">
        <v>2855.0</v>
      </c>
      <c r="B22" s="45">
        <v>5.43</v>
      </c>
      <c r="C22" s="45">
        <v>0.044956</v>
      </c>
      <c r="D22" s="45">
        <v>0.057028</v>
      </c>
      <c r="E22" s="45">
        <v>0.050992</v>
      </c>
    </row>
    <row r="23" ht="22.5" customHeight="1">
      <c r="A23" s="45">
        <v>2947.0</v>
      </c>
      <c r="B23" s="45">
        <v>5.67</v>
      </c>
      <c r="C23" s="45">
        <v>0.045081</v>
      </c>
      <c r="D23" s="45">
        <v>0.057632</v>
      </c>
      <c r="E23" s="45">
        <v>0.051357</v>
      </c>
    </row>
    <row r="24" ht="22.5" customHeight="1">
      <c r="A24" s="45">
        <v>3005.0</v>
      </c>
      <c r="B24" s="45">
        <v>5.92</v>
      </c>
      <c r="C24" s="45">
        <v>0.045951</v>
      </c>
      <c r="D24" s="45">
        <v>0.057517</v>
      </c>
      <c r="E24" s="45">
        <v>0.051734</v>
      </c>
    </row>
    <row r="25" ht="22.5" customHeight="1">
      <c r="A25" s="45">
        <v>3113.0</v>
      </c>
      <c r="B25" s="45">
        <v>6.18</v>
      </c>
      <c r="C25" s="45">
        <v>0.046384</v>
      </c>
      <c r="D25" s="45">
        <v>0.058625</v>
      </c>
      <c r="E25" s="45">
        <v>0.052505</v>
      </c>
    </row>
    <row r="26" ht="22.5" customHeight="1">
      <c r="A26" s="45">
        <v>3178.0</v>
      </c>
      <c r="B26" s="45">
        <v>6.45</v>
      </c>
      <c r="C26" s="45">
        <v>0.046635</v>
      </c>
      <c r="D26" s="45">
        <v>0.058671</v>
      </c>
      <c r="E26" s="45">
        <v>0.052653</v>
      </c>
    </row>
    <row r="27" ht="22.5" customHeight="1">
      <c r="A27" s="45">
        <v>3326.0</v>
      </c>
      <c r="B27" s="45">
        <v>6.72</v>
      </c>
      <c r="C27" s="45">
        <v>0.048401</v>
      </c>
      <c r="D27" s="45">
        <v>0.068087</v>
      </c>
      <c r="E27" s="45">
        <v>0.058244</v>
      </c>
    </row>
    <row r="28" ht="22.5" customHeight="1">
      <c r="A28" s="45">
        <v>3412.0</v>
      </c>
      <c r="B28" s="45">
        <v>7.0</v>
      </c>
      <c r="C28" s="45">
        <v>0.048672</v>
      </c>
      <c r="D28" s="45">
        <v>0.068637</v>
      </c>
      <c r="E28" s="45">
        <v>0.058654</v>
      </c>
    </row>
    <row r="29" ht="22.5" customHeight="1">
      <c r="A29" s="45">
        <v>3481.0</v>
      </c>
      <c r="B29" s="45">
        <v>7.28</v>
      </c>
      <c r="C29" s="45">
        <v>0.048916</v>
      </c>
      <c r="D29" s="45">
        <v>0.069317</v>
      </c>
      <c r="E29" s="45">
        <v>0.059116</v>
      </c>
    </row>
    <row r="30" ht="22.5" customHeight="1">
      <c r="A30" s="45">
        <v>3592.0</v>
      </c>
      <c r="B30" s="45">
        <v>7.57</v>
      </c>
      <c r="C30" s="45">
        <v>0.048894</v>
      </c>
      <c r="D30" s="45">
        <v>0.069903</v>
      </c>
      <c r="E30" s="45">
        <v>0.059399</v>
      </c>
    </row>
    <row r="31" ht="22.5" customHeight="1">
      <c r="A31" s="45">
        <v>3647.0</v>
      </c>
      <c r="B31" s="45">
        <v>7.88</v>
      </c>
      <c r="C31" s="45">
        <v>0.04915</v>
      </c>
      <c r="D31" s="45">
        <v>0.070005</v>
      </c>
      <c r="E31" s="45">
        <v>0.059578</v>
      </c>
    </row>
    <row r="32" ht="22.5" customHeight="1">
      <c r="A32" s="45">
        <v>3702.0</v>
      </c>
      <c r="B32" s="45">
        <v>8.18</v>
      </c>
      <c r="C32" s="45">
        <v>0.050023</v>
      </c>
      <c r="D32" s="45">
        <v>0.070036</v>
      </c>
      <c r="E32" s="45">
        <v>0.060029</v>
      </c>
    </row>
    <row r="33" ht="22.5" customHeight="1">
      <c r="A33" s="45">
        <v>3761.0</v>
      </c>
      <c r="B33" s="45">
        <v>8.49</v>
      </c>
      <c r="C33" s="45">
        <v>0.050992</v>
      </c>
      <c r="D33" s="45">
        <v>0.07874</v>
      </c>
      <c r="E33" s="45">
        <v>0.064866</v>
      </c>
    </row>
    <row r="34" ht="22.5" customHeight="1">
      <c r="A34" s="45">
        <v>3842.0</v>
      </c>
      <c r="B34" s="45">
        <v>8.81</v>
      </c>
      <c r="C34" s="45">
        <v>0.052932</v>
      </c>
      <c r="D34" s="45">
        <v>0.0792</v>
      </c>
      <c r="E34" s="45">
        <v>0.066066</v>
      </c>
    </row>
    <row r="35" ht="22.5" customHeight="1">
      <c r="A35" s="45">
        <v>3927.0</v>
      </c>
      <c r="B35" s="45">
        <v>9.13</v>
      </c>
      <c r="C35" s="45">
        <v>0.055309</v>
      </c>
      <c r="D35" s="45">
        <v>0.079532</v>
      </c>
      <c r="E35" s="45">
        <v>0.067421</v>
      </c>
    </row>
    <row r="36" ht="22.5" customHeight="1">
      <c r="A36" s="45">
        <v>4031.0</v>
      </c>
      <c r="B36" s="45">
        <v>9.46</v>
      </c>
      <c r="C36" s="45">
        <v>0.062228</v>
      </c>
      <c r="D36" s="45">
        <v>0.115221</v>
      </c>
      <c r="E36" s="45">
        <v>0.088724</v>
      </c>
    </row>
    <row r="37" ht="22.5" customHeight="1">
      <c r="A37" s="45">
        <v>4101.0</v>
      </c>
      <c r="B37" s="45">
        <v>9.79</v>
      </c>
      <c r="C37" s="45">
        <v>0.062681</v>
      </c>
      <c r="D37" s="45">
        <v>0.115626</v>
      </c>
      <c r="E37" s="45">
        <v>0.089153</v>
      </c>
    </row>
    <row r="38" ht="22.5" customHeight="1">
      <c r="A38" s="45">
        <v>4205.0</v>
      </c>
      <c r="B38" s="45">
        <v>10.13</v>
      </c>
      <c r="C38" s="45">
        <v>0.063108</v>
      </c>
      <c r="D38" s="45">
        <v>0.116405</v>
      </c>
      <c r="E38" s="45">
        <v>0.089757</v>
      </c>
    </row>
    <row r="39" ht="22.5" customHeight="1">
      <c r="A39" s="45">
        <v>4305.0</v>
      </c>
      <c r="B39" s="45">
        <v>10.48</v>
      </c>
      <c r="C39" s="45">
        <v>0.066746</v>
      </c>
      <c r="D39" s="45">
        <v>0.115853</v>
      </c>
      <c r="E39" s="45">
        <v>0.091299</v>
      </c>
    </row>
    <row r="40" ht="22.5" customHeight="1">
      <c r="A40" s="45">
        <v>4412.0</v>
      </c>
      <c r="B40" s="45">
        <v>10.83</v>
      </c>
      <c r="C40" s="45">
        <v>0.071673</v>
      </c>
      <c r="D40" s="45">
        <v>0.113763</v>
      </c>
      <c r="E40" s="45">
        <v>0.092718</v>
      </c>
    </row>
    <row r="41" ht="22.5" customHeight="1">
      <c r="A41" s="45">
        <v>4533.0</v>
      </c>
      <c r="B41" s="45">
        <v>11.19</v>
      </c>
      <c r="C41" s="45">
        <v>0.075299</v>
      </c>
      <c r="D41" s="45">
        <v>0.113745</v>
      </c>
      <c r="E41" s="45">
        <v>0.094522</v>
      </c>
    </row>
    <row r="42" ht="22.5" customHeight="1">
      <c r="A42" s="45">
        <v>4665.0</v>
      </c>
      <c r="B42" s="45">
        <v>11.55</v>
      </c>
      <c r="C42" s="45">
        <v>0.075996</v>
      </c>
      <c r="D42" s="45">
        <v>0.115287</v>
      </c>
      <c r="E42" s="45">
        <v>0.095641</v>
      </c>
    </row>
    <row r="43" ht="22.5" customHeight="1">
      <c r="A43" s="45">
        <v>4758.0</v>
      </c>
      <c r="B43" s="45">
        <v>11.94</v>
      </c>
      <c r="C43" s="45">
        <v>0.076511</v>
      </c>
      <c r="D43" s="45">
        <v>0.115963</v>
      </c>
      <c r="E43" s="45">
        <v>0.096237</v>
      </c>
    </row>
    <row r="44" ht="22.5" customHeight="1">
      <c r="A44" s="45">
        <v>4816.0</v>
      </c>
      <c r="B44" s="45">
        <v>12.32</v>
      </c>
      <c r="C44" s="45">
        <v>0.077055</v>
      </c>
      <c r="D44" s="45">
        <v>0.11597</v>
      </c>
      <c r="E44" s="45">
        <v>0.096513</v>
      </c>
    </row>
    <row r="45" ht="22.5" customHeight="1">
      <c r="A45" s="45">
        <v>4890.0</v>
      </c>
      <c r="B45" s="45">
        <v>12.71</v>
      </c>
      <c r="C45" s="45">
        <v>0.077815</v>
      </c>
      <c r="D45" s="45">
        <v>0.116219</v>
      </c>
      <c r="E45" s="45">
        <v>0.097017</v>
      </c>
    </row>
    <row r="46" ht="22.5" customHeight="1">
      <c r="A46" s="45">
        <v>4970.0</v>
      </c>
      <c r="B46" s="45">
        <v>13.11</v>
      </c>
      <c r="C46" s="45">
        <v>0.078242</v>
      </c>
      <c r="D46" s="45">
        <v>0.116537</v>
      </c>
      <c r="E46" s="45">
        <v>0.097389</v>
      </c>
    </row>
    <row r="47" ht="22.5" customHeight="1">
      <c r="A47" s="45">
        <v>5053.0</v>
      </c>
      <c r="B47" s="45">
        <v>13.52</v>
      </c>
      <c r="C47" s="45">
        <v>0.079562</v>
      </c>
      <c r="D47" s="45">
        <v>0.116507</v>
      </c>
      <c r="E47" s="45">
        <v>0.098035</v>
      </c>
    </row>
    <row r="48" ht="22.5" customHeight="1">
      <c r="A48" s="45">
        <v>5107.0</v>
      </c>
      <c r="B48" s="45">
        <v>13.93</v>
      </c>
      <c r="C48" s="45">
        <v>0.07963</v>
      </c>
      <c r="D48" s="45">
        <v>0.116468</v>
      </c>
      <c r="E48" s="45">
        <v>0.098049</v>
      </c>
    </row>
    <row r="49" ht="22.5" customHeight="1">
      <c r="A49" s="45">
        <v>5190.0</v>
      </c>
      <c r="B49" s="45">
        <v>14.34</v>
      </c>
      <c r="C49" s="45">
        <v>0.079794</v>
      </c>
      <c r="D49" s="45">
        <v>0.117225</v>
      </c>
      <c r="E49" s="45">
        <v>0.09851</v>
      </c>
    </row>
    <row r="50" ht="22.5" customHeight="1">
      <c r="A50" s="45">
        <v>5284.0</v>
      </c>
      <c r="B50" s="45">
        <v>14.76</v>
      </c>
      <c r="C50" s="45">
        <v>0.081199</v>
      </c>
      <c r="D50" s="45">
        <v>0.11733</v>
      </c>
      <c r="E50" s="45">
        <v>0.099264</v>
      </c>
    </row>
    <row r="51" ht="22.5" customHeight="1">
      <c r="A51" s="45">
        <v>5382.0</v>
      </c>
      <c r="B51" s="45">
        <v>15.2</v>
      </c>
      <c r="C51" s="45">
        <v>0.082151</v>
      </c>
      <c r="D51" s="45">
        <v>0.117677</v>
      </c>
      <c r="E51" s="45">
        <v>0.099914</v>
      </c>
    </row>
    <row r="52" ht="22.5" customHeight="1">
      <c r="A52" s="45">
        <v>5454.0</v>
      </c>
      <c r="B52" s="45">
        <v>15.63</v>
      </c>
      <c r="C52" s="45">
        <v>0.082388</v>
      </c>
      <c r="D52" s="45">
        <v>0.117637</v>
      </c>
      <c r="E52" s="45">
        <v>0.100012</v>
      </c>
    </row>
    <row r="53" ht="22.5" customHeight="1">
      <c r="A53" s="45">
        <v>5549.0</v>
      </c>
      <c r="B53" s="45">
        <v>16.08</v>
      </c>
      <c r="C53" s="45">
        <v>0.083171</v>
      </c>
      <c r="D53" s="45">
        <v>0.118031</v>
      </c>
      <c r="E53" s="45">
        <v>0.100601</v>
      </c>
    </row>
    <row r="54" ht="22.5" customHeight="1">
      <c r="A54" s="45">
        <v>5616.0</v>
      </c>
      <c r="B54" s="45">
        <v>16.53</v>
      </c>
      <c r="C54" s="45">
        <v>0.083656</v>
      </c>
      <c r="D54" s="45">
        <v>0.117789</v>
      </c>
      <c r="E54" s="45">
        <v>0.100722</v>
      </c>
    </row>
    <row r="55" ht="22.5" customHeight="1">
      <c r="A55" s="45">
        <v>5697.0</v>
      </c>
      <c r="B55" s="45">
        <v>17.0</v>
      </c>
      <c r="C55" s="45">
        <v>0.085024</v>
      </c>
      <c r="D55" s="45">
        <v>0.117508</v>
      </c>
      <c r="E55" s="45">
        <v>0.101266</v>
      </c>
    </row>
    <row r="56" ht="22.5" customHeight="1">
      <c r="A56" s="45">
        <v>5754.0</v>
      </c>
      <c r="B56" s="45">
        <v>17.47</v>
      </c>
      <c r="C56" s="45">
        <v>0.085354</v>
      </c>
      <c r="D56" s="45">
        <v>0.117623</v>
      </c>
      <c r="E56" s="45">
        <v>0.101489</v>
      </c>
    </row>
    <row r="57" ht="22.5" customHeight="1">
      <c r="A57" s="45">
        <v>5832.0</v>
      </c>
      <c r="B57" s="45">
        <v>17.93</v>
      </c>
      <c r="C57" s="45">
        <v>0.086013</v>
      </c>
      <c r="D57" s="45">
        <v>0.117759</v>
      </c>
      <c r="E57" s="45">
        <v>0.101886</v>
      </c>
    </row>
    <row r="58" ht="22.5" customHeight="1">
      <c r="A58" s="45">
        <v>5894.0</v>
      </c>
      <c r="B58" s="45">
        <v>18.41</v>
      </c>
      <c r="C58" s="45">
        <v>0.086206</v>
      </c>
      <c r="D58" s="45">
        <v>0.117915</v>
      </c>
      <c r="E58" s="45">
        <v>0.102061</v>
      </c>
    </row>
    <row r="59" ht="22.5" customHeight="1">
      <c r="A59" s="45">
        <v>5982.0</v>
      </c>
      <c r="B59" s="45">
        <v>18.9</v>
      </c>
      <c r="C59" s="45">
        <v>0.088177</v>
      </c>
      <c r="D59" s="45">
        <v>0.117767</v>
      </c>
      <c r="E59" s="45">
        <v>0.102972</v>
      </c>
    </row>
    <row r="60" ht="22.5" customHeight="1">
      <c r="A60" s="45">
        <v>6050.0</v>
      </c>
      <c r="B60" s="45">
        <v>19.41</v>
      </c>
      <c r="C60" s="45">
        <v>0.089919</v>
      </c>
      <c r="D60" s="45">
        <v>0.117852</v>
      </c>
      <c r="E60" s="45">
        <v>0.103886</v>
      </c>
    </row>
    <row r="61" ht="22.5" customHeight="1">
      <c r="A61" s="45">
        <v>6170.0</v>
      </c>
      <c r="B61" s="45">
        <v>19.93</v>
      </c>
      <c r="C61" s="45">
        <v>0.090977</v>
      </c>
      <c r="D61" s="45">
        <v>0.117912</v>
      </c>
      <c r="E61" s="45">
        <v>0.104444</v>
      </c>
    </row>
    <row r="62" ht="22.5" customHeight="1">
      <c r="A62" s="45">
        <v>6289.0</v>
      </c>
      <c r="B62" s="45">
        <v>20.46</v>
      </c>
      <c r="C62" s="45">
        <v>0.091015</v>
      </c>
      <c r="D62" s="45">
        <v>0.118728</v>
      </c>
      <c r="E62" s="45">
        <v>0.104872</v>
      </c>
    </row>
    <row r="63" ht="22.5" customHeight="1">
      <c r="A63" s="45">
        <v>6358.0</v>
      </c>
      <c r="B63" s="45">
        <v>21.01</v>
      </c>
      <c r="C63" s="45">
        <v>0.090972</v>
      </c>
      <c r="D63" s="45">
        <v>0.118786</v>
      </c>
      <c r="E63" s="45">
        <v>0.104879</v>
      </c>
    </row>
    <row r="64" ht="22.5" customHeight="1">
      <c r="A64" s="45">
        <v>6456.0</v>
      </c>
      <c r="B64" s="45">
        <v>21.55</v>
      </c>
      <c r="C64" s="45">
        <v>0.092998</v>
      </c>
      <c r="D64" s="45">
        <v>0.118978</v>
      </c>
      <c r="E64" s="45">
        <v>0.105988</v>
      </c>
    </row>
    <row r="65" ht="22.5" customHeight="1">
      <c r="A65" s="45">
        <v>6587.0</v>
      </c>
      <c r="B65" s="45">
        <v>22.11</v>
      </c>
      <c r="C65" s="45">
        <v>0.094572</v>
      </c>
      <c r="D65" s="45">
        <v>0.119446</v>
      </c>
      <c r="E65" s="45">
        <v>0.107009</v>
      </c>
    </row>
    <row r="66" ht="22.5" customHeight="1">
      <c r="A66" s="45">
        <v>6673.0</v>
      </c>
      <c r="B66" s="45">
        <v>22.68</v>
      </c>
      <c r="C66" s="45">
        <v>0.095376</v>
      </c>
      <c r="D66" s="45">
        <v>0.129051</v>
      </c>
      <c r="E66" s="45">
        <v>0.112214</v>
      </c>
    </row>
    <row r="67" ht="22.5" customHeight="1">
      <c r="A67" s="45">
        <v>6742.0</v>
      </c>
      <c r="B67" s="45">
        <v>23.25</v>
      </c>
      <c r="C67" s="45">
        <v>0.095271</v>
      </c>
      <c r="D67" s="45">
        <v>0.129637</v>
      </c>
      <c r="E67" s="45">
        <v>0.112454</v>
      </c>
    </row>
    <row r="68" ht="22.5" customHeight="1">
      <c r="A68" s="45">
        <v>6829.0</v>
      </c>
      <c r="B68" s="45">
        <v>23.83</v>
      </c>
      <c r="C68" s="45">
        <v>0.09763</v>
      </c>
      <c r="D68" s="45">
        <v>0.129429</v>
      </c>
      <c r="E68" s="45">
        <v>0.11353</v>
      </c>
    </row>
    <row r="69" ht="22.5" customHeight="1">
      <c r="A69" s="45">
        <v>6915.0</v>
      </c>
      <c r="B69" s="45">
        <v>24.41</v>
      </c>
      <c r="C69" s="45">
        <v>0.10024</v>
      </c>
      <c r="D69" s="45">
        <v>0.138902</v>
      </c>
      <c r="E69" s="45">
        <v>0.119571</v>
      </c>
    </row>
    <row r="70" ht="22.5" customHeight="1">
      <c r="A70" s="45">
        <v>7029.0</v>
      </c>
      <c r="B70" s="45">
        <v>25.01</v>
      </c>
      <c r="C70" s="45">
        <v>0.101524</v>
      </c>
      <c r="D70" s="45">
        <v>0.138822</v>
      </c>
      <c r="E70" s="45">
        <v>0.120173</v>
      </c>
    </row>
    <row r="71" ht="22.5" customHeight="1">
      <c r="A71" s="45">
        <v>7141.0</v>
      </c>
      <c r="B71" s="45">
        <v>25.63</v>
      </c>
      <c r="C71" s="45">
        <v>0.102234</v>
      </c>
      <c r="D71" s="45">
        <v>0.139043</v>
      </c>
      <c r="E71" s="45">
        <v>0.120638</v>
      </c>
    </row>
    <row r="72" ht="22.5" customHeight="1">
      <c r="A72" s="45">
        <v>7214.0</v>
      </c>
      <c r="B72" s="45">
        <v>26.25</v>
      </c>
      <c r="C72" s="45">
        <v>0.103262</v>
      </c>
      <c r="D72" s="45">
        <v>0.139122</v>
      </c>
      <c r="E72" s="45">
        <v>0.121192</v>
      </c>
    </row>
    <row r="73" ht="22.5" customHeight="1">
      <c r="A73" s="45">
        <v>7340.0</v>
      </c>
      <c r="B73" s="45">
        <v>26.88</v>
      </c>
      <c r="C73" s="45">
        <v>0.103771</v>
      </c>
      <c r="D73" s="45">
        <v>0.139148</v>
      </c>
      <c r="E73" s="45">
        <v>0.12146</v>
      </c>
    </row>
    <row r="74" ht="22.5" customHeight="1">
      <c r="A74" s="45">
        <v>7413.0</v>
      </c>
      <c r="B74" s="45">
        <v>27.53</v>
      </c>
      <c r="C74" s="45">
        <v>0.104074</v>
      </c>
      <c r="D74" s="45">
        <v>0.139162</v>
      </c>
      <c r="E74" s="45">
        <v>0.121618</v>
      </c>
    </row>
    <row r="75" ht="22.5" customHeight="1">
      <c r="A75" s="45">
        <v>7492.0</v>
      </c>
      <c r="B75" s="45">
        <v>28.18</v>
      </c>
      <c r="C75" s="45">
        <v>0.10432</v>
      </c>
      <c r="D75" s="45">
        <v>0.139326</v>
      </c>
      <c r="E75" s="45">
        <v>0.121823</v>
      </c>
    </row>
    <row r="76" ht="22.5" customHeight="1">
      <c r="A76" s="45">
        <v>7563.0</v>
      </c>
      <c r="B76" s="45">
        <v>28.86</v>
      </c>
      <c r="C76" s="45">
        <v>0.105558</v>
      </c>
      <c r="D76" s="45">
        <v>0.139356</v>
      </c>
      <c r="E76" s="45">
        <v>0.122457</v>
      </c>
    </row>
    <row r="77" ht="22.5" customHeight="1">
      <c r="A77" s="45">
        <v>7623.0</v>
      </c>
      <c r="B77" s="45">
        <v>29.52</v>
      </c>
      <c r="C77" s="45">
        <v>0.10659</v>
      </c>
      <c r="D77" s="45">
        <v>0.139577</v>
      </c>
      <c r="E77" s="45">
        <v>0.123083</v>
      </c>
    </row>
    <row r="78" ht="22.5" customHeight="1">
      <c r="A78" s="45">
        <v>7683.0</v>
      </c>
      <c r="B78" s="45">
        <v>30.19</v>
      </c>
      <c r="C78" s="45">
        <v>0.106671</v>
      </c>
      <c r="D78" s="45">
        <v>0.139639</v>
      </c>
      <c r="E78" s="45">
        <v>0.123155</v>
      </c>
    </row>
    <row r="79" ht="22.5" customHeight="1">
      <c r="A79" s="45">
        <v>7783.0</v>
      </c>
      <c r="B79" s="45">
        <v>30.87</v>
      </c>
      <c r="C79" s="45">
        <v>0.107097</v>
      </c>
      <c r="D79" s="45">
        <v>0.140277</v>
      </c>
      <c r="E79" s="45">
        <v>0.123687</v>
      </c>
    </row>
    <row r="80" ht="22.5" customHeight="1">
      <c r="A80" s="45">
        <v>7868.0</v>
      </c>
      <c r="B80" s="45">
        <v>31.55</v>
      </c>
      <c r="C80" s="45">
        <v>0.107959</v>
      </c>
      <c r="D80" s="45">
        <v>0.140122</v>
      </c>
      <c r="E80" s="45">
        <v>0.124041</v>
      </c>
    </row>
    <row r="81" ht="22.5" customHeight="1">
      <c r="A81" s="45">
        <v>7963.0</v>
      </c>
      <c r="B81" s="45">
        <v>32.24</v>
      </c>
      <c r="C81" s="45">
        <v>0.108021</v>
      </c>
      <c r="D81" s="45">
        <v>0.140092</v>
      </c>
      <c r="E81" s="45">
        <v>0.124057</v>
      </c>
    </row>
    <row r="82" ht="22.5" customHeight="1">
      <c r="A82" s="45">
        <v>8045.0</v>
      </c>
      <c r="B82" s="45">
        <v>32.95</v>
      </c>
      <c r="C82" s="45">
        <v>0.108034</v>
      </c>
      <c r="D82" s="45">
        <v>0.1401</v>
      </c>
      <c r="E82" s="45">
        <v>0.124067</v>
      </c>
    </row>
    <row r="85">
      <c r="C85" s="33" t="s">
        <v>44</v>
      </c>
      <c r="D85" s="33">
        <v>0.124638</v>
      </c>
    </row>
    <row r="87" ht="22.5" customHeight="1">
      <c r="A87" s="4" t="s">
        <v>45</v>
      </c>
      <c r="B87" s="4" t="s">
        <v>46</v>
      </c>
      <c r="C87" s="4" t="s">
        <v>47</v>
      </c>
      <c r="D87" s="29" t="s">
        <v>48</v>
      </c>
      <c r="E87" s="29" t="s">
        <v>49</v>
      </c>
      <c r="F87" s="4" t="s">
        <v>39</v>
      </c>
      <c r="G87" s="4" t="s">
        <v>50</v>
      </c>
    </row>
    <row r="88" ht="22.5" customHeight="1">
      <c r="A88" s="37">
        <v>1.0</v>
      </c>
      <c r="B88" s="37">
        <v>10175.0</v>
      </c>
      <c r="C88" s="68">
        <v>0.128265</v>
      </c>
      <c r="D88" s="10">
        <f t="shared" ref="D88:D94" si="1">abs(C88-D$85)^2</f>
        <v>0.000013155129</v>
      </c>
      <c r="E88" s="36">
        <f t="shared" ref="E88:E94" si="2">(C88-C$95/7)^2</f>
        <v>0.0000803635409</v>
      </c>
      <c r="F88" s="37">
        <v>58.44</v>
      </c>
      <c r="G88" s="55">
        <f t="shared" ref="G88:G94" si="3">ABS(C88-D$85)/D$85</f>
        <v>0.02910027439</v>
      </c>
    </row>
    <row r="89" ht="22.5" customHeight="1">
      <c r="A89" s="37">
        <v>2.0</v>
      </c>
      <c r="B89" s="37">
        <v>10000.0</v>
      </c>
      <c r="C89" s="68">
        <v>0.117566</v>
      </c>
      <c r="D89" s="10">
        <f t="shared" si="1"/>
        <v>0.000050013184</v>
      </c>
      <c r="E89" s="36">
        <f t="shared" si="2"/>
        <v>0.000003008242469</v>
      </c>
      <c r="F89" s="37">
        <v>54.88</v>
      </c>
      <c r="G89" s="55">
        <f t="shared" si="3"/>
        <v>0.05674031997</v>
      </c>
    </row>
    <row r="90" ht="22.5" customHeight="1">
      <c r="A90" s="37">
        <v>3.0</v>
      </c>
      <c r="B90" s="45">
        <v>8045.0</v>
      </c>
      <c r="C90" s="50">
        <v>0.124067</v>
      </c>
      <c r="D90" s="10">
        <f t="shared" si="1"/>
        <v>0.000000326041</v>
      </c>
      <c r="E90" s="36">
        <f t="shared" si="2"/>
        <v>0.00002272020318</v>
      </c>
      <c r="F90" s="45">
        <v>32.95</v>
      </c>
      <c r="G90" s="55">
        <f t="shared" si="3"/>
        <v>0.00458126735</v>
      </c>
    </row>
    <row r="91" ht="22.5" customHeight="1">
      <c r="A91" s="37">
        <v>4.0</v>
      </c>
      <c r="B91" s="37">
        <v>8801.0</v>
      </c>
      <c r="C91" s="68">
        <v>0.116097</v>
      </c>
      <c r="D91" s="10">
        <f t="shared" si="1"/>
        <v>0.000072948681</v>
      </c>
      <c r="E91" s="36">
        <f t="shared" si="2"/>
        <v>0.00001026195461</v>
      </c>
      <c r="F91" s="37">
        <v>42.44</v>
      </c>
      <c r="G91" s="55">
        <f t="shared" si="3"/>
        <v>0.06852645261</v>
      </c>
    </row>
    <row r="92" ht="22.5" customHeight="1">
      <c r="A92" s="37">
        <v>5.0</v>
      </c>
      <c r="B92" s="37">
        <v>8373.0</v>
      </c>
      <c r="C92" s="68">
        <v>0.117055</v>
      </c>
      <c r="D92" s="10">
        <f t="shared" si="1"/>
        <v>0.000057501889</v>
      </c>
      <c r="E92" s="36">
        <f t="shared" si="2"/>
        <v>0.000005041949469</v>
      </c>
      <c r="F92" s="37">
        <v>38.79</v>
      </c>
      <c r="G92" s="55">
        <f t="shared" si="3"/>
        <v>0.0608401932</v>
      </c>
    </row>
    <row r="93" ht="22.5" customHeight="1">
      <c r="A93" s="37">
        <v>6.0</v>
      </c>
      <c r="B93" s="37">
        <v>8675.0</v>
      </c>
      <c r="C93" s="68">
        <v>0.116431</v>
      </c>
      <c r="D93" s="10">
        <f t="shared" si="1"/>
        <v>0.000067354849</v>
      </c>
      <c r="E93" s="36">
        <f t="shared" si="2"/>
        <v>0.000008233620327</v>
      </c>
      <c r="F93" s="37">
        <v>41.98</v>
      </c>
      <c r="G93" s="55">
        <f t="shared" si="3"/>
        <v>0.06584669202</v>
      </c>
    </row>
    <row r="94" ht="22.5" customHeight="1">
      <c r="A94" s="37">
        <v>7.0</v>
      </c>
      <c r="B94" s="37">
        <v>7754.0</v>
      </c>
      <c r="C94" s="68">
        <v>0.115622</v>
      </c>
      <c r="D94" s="10">
        <f t="shared" si="1"/>
        <v>0.000081288256</v>
      </c>
      <c r="E94" s="36">
        <f t="shared" si="2"/>
        <v>0.00001353083676</v>
      </c>
      <c r="F94" s="37">
        <v>33.48</v>
      </c>
      <c r="G94" s="55">
        <f t="shared" si="3"/>
        <v>0.07233748937</v>
      </c>
    </row>
    <row r="95" ht="22.5" customHeight="1">
      <c r="A95" s="69" t="s">
        <v>53</v>
      </c>
      <c r="B95" s="69">
        <f t="shared" ref="B95:G95" si="4">SUM(B88:B94)</f>
        <v>61823</v>
      </c>
      <c r="C95" s="70">
        <f t="shared" si="4"/>
        <v>0.835103</v>
      </c>
      <c r="D95" s="81">
        <f t="shared" si="4"/>
        <v>0.000342588029</v>
      </c>
      <c r="E95" s="69">
        <f t="shared" si="4"/>
        <v>0.0001431603477</v>
      </c>
      <c r="F95" s="69">
        <f t="shared" si="4"/>
        <v>302.96</v>
      </c>
      <c r="G95" s="69">
        <f t="shared" si="4"/>
        <v>0.3579726889</v>
      </c>
    </row>
    <row r="96">
      <c r="G96" s="25"/>
    </row>
  </sheetData>
  <dataValidations>
    <dataValidation type="custom" allowBlank="1" showDropDown="1" sqref="A88:C95 G88:G95">
      <formula1>AND(ISNUMBER(A88),(NOT(OR(NOT(ISERROR(DATEVALUE(A88))), AND(ISNUMBER(A88), LEFT(CELL("format", A88))="D")))))</formula1>
    </dataValidation>
  </dataValidations>
  <drawing r:id="rId1"/>
  <tableParts count="2">
    <tablePart r:id="rId4"/>
    <tablePart r:id="rId5"/>
  </tableParts>
</worksheet>
</file>