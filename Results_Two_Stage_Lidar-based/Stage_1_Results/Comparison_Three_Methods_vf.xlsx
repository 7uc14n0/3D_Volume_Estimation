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BoundingBox" sheetId="2" r:id="rId6"/>
    <sheet state="visible" name="ConvexHull" sheetId="3" r:id="rId7"/>
    <sheet state="visible" name="Voxelization" sheetId="4" r:id="rId8"/>
  </sheets>
  <definedNames/>
  <calcPr/>
</workbook>
</file>

<file path=xl/sharedStrings.xml><?xml version="1.0" encoding="utf-8"?>
<sst xmlns="http://schemas.openxmlformats.org/spreadsheetml/2006/main" count="1028" uniqueCount="147">
  <si>
    <t>Analysis of execution time in the three methods</t>
  </si>
  <si>
    <t>P1</t>
  </si>
  <si>
    <t>P2</t>
  </si>
  <si>
    <t>P3</t>
  </si>
  <si>
    <t>P4</t>
  </si>
  <si>
    <t>P5</t>
  </si>
  <si>
    <t>P6 (p1)</t>
  </si>
  <si>
    <t>P6(p2)</t>
  </si>
  <si>
    <t>P7</t>
  </si>
  <si>
    <t>Average</t>
  </si>
  <si>
    <t>Bounding Box</t>
  </si>
  <si>
    <t>Convex Hull</t>
  </si>
  <si>
    <t>Voxelization</t>
  </si>
  <si>
    <t>Analysis of the number of points in the cloud using the three methods.</t>
  </si>
  <si>
    <t>P6</t>
  </si>
  <si>
    <t>Average percentage of correct and incorrect measurements of the volume of rectangular and cubic boxes.</t>
  </si>
  <si>
    <t>Pct1</t>
  </si>
  <si>
    <t>Pct3</t>
  </si>
  <si>
    <t>Pct5</t>
  </si>
  <si>
    <t>Pct7</t>
  </si>
  <si>
    <t>MAPE</t>
  </si>
  <si>
    <t>RMSE (L)</t>
  </si>
  <si>
    <t>Average percentage of correct and incorrect measurements of the volume of packages with irregular shapes.</t>
  </si>
  <si>
    <t>Pct2</t>
  </si>
  <si>
    <t>Pct4</t>
  </si>
  <si>
    <t>Pct6 (Pos1)</t>
  </si>
  <si>
    <t>Pct6 (Pos2)</t>
  </si>
  <si>
    <t>RMSE</t>
  </si>
  <si>
    <t>RMSE of dimensions and volume calculation in regular packages</t>
  </si>
  <si>
    <t>Length (m)</t>
  </si>
  <si>
    <t>Width (m)</t>
  </si>
  <si>
    <t>Height (m)</t>
  </si>
  <si>
    <t>Top Sensor Distance (m)</t>
  </si>
  <si>
    <t>RMSE of dimensions and volume calculation in irregular packages</t>
  </si>
  <si>
    <t>RMSE GENERAL</t>
  </si>
  <si>
    <t>Test sequence for calculating packet volume</t>
  </si>
  <si>
    <t>Testing with the Bounding Box Volume Estimation algorithm</t>
  </si>
  <si>
    <t>Note: The criterion used to identify the calculated volume as valid for rectangular and cubic boxes was that it was close to the value of the manually calculated volume.</t>
  </si>
  <si>
    <t>Average dimensions</t>
  </si>
  <si>
    <t>Package Type</t>
  </si>
  <si>
    <t>Example of output from a valid test.</t>
  </si>
  <si>
    <t>Measurements Package 1</t>
  </si>
  <si>
    <t>Manual measurement (m)</t>
  </si>
  <si>
    <t>Algorithm Results</t>
  </si>
  <si>
    <t>averages</t>
  </si>
  <si>
    <t>Percentage of correct answers</t>
  </si>
  <si>
    <t>Difference between manual measurement and algorithmic measurement.</t>
  </si>
  <si>
    <t>absolute percentage error volume (APE)</t>
  </si>
  <si>
    <t>Package 1</t>
  </si>
  <si>
    <t>Object identified with 596 points.
Estimated volume of the OBB: 0.013 m³
Dimensions of the identified object:
Length: 0.452 m
Width: 0.312 m
Height: 0.456 m
Volume: 0.064272 m³
Total execution time: 0.31 seconds</t>
  </si>
  <si>
    <t>Tests</t>
  </si>
  <si>
    <t>Time</t>
  </si>
  <si>
    <t>Volume</t>
  </si>
  <si>
    <t>Number of points</t>
  </si>
  <si>
    <t>Length</t>
  </si>
  <si>
    <t xml:space="preserve">Width </t>
  </si>
  <si>
    <t>Height</t>
  </si>
  <si>
    <t>TSDs</t>
  </si>
  <si>
    <t>VolumePCT1 (m³)</t>
  </si>
  <si>
    <t>Execution time (s)</t>
  </si>
  <si>
    <t>Volume (m³)</t>
  </si>
  <si>
    <t>Top Sensor Distance (TSD)</t>
  </si>
  <si>
    <t>average</t>
  </si>
  <si>
    <t>Accuracy %</t>
  </si>
  <si>
    <t>Error square</t>
  </si>
  <si>
    <t>Measurements Package 2</t>
  </si>
  <si>
    <t>Package 2</t>
  </si>
  <si>
    <t>Object identified with 1199 points.
Estimated volume of the OBB: 0.036 m³
Dimensions of the identified object:
Length: 0.492 m
Width: 0.440 m
Height: 0.197 m
Volume: 0.042596 m³
Total execution time: 1.35 seconds</t>
  </si>
  <si>
    <t>Manual measurement</t>
  </si>
  <si>
    <t>PCT2 Volume (m2)</t>
  </si>
  <si>
    <t>Measurements Package 3</t>
  </si>
  <si>
    <t>Package 3</t>
  </si>
  <si>
    <t>Object identified with 1194 points.
Estimated volume of the OBB: 0.026 m³
Dimensions of the identified object:
Length: 0.522 m
Width: 0.520 m
Height: 0.472 m
Volume: 0.128076 m³
Total execution time: 0.64 seconds
Successful attempt! Volume within standard range.</t>
  </si>
  <si>
    <t>PCT3 Volume (m³)</t>
  </si>
  <si>
    <t>Measurements Package 4</t>
  </si>
  <si>
    <t>PCT4 Volume (m³)</t>
  </si>
  <si>
    <t>Package 4</t>
  </si>
  <si>
    <t xml:space="preserve">
Object identified with 427 points.
Estimated volume of the OBB: 0.009 m³
Dimensions of the identified object:
Length: 0.479 m
Width: 0.188 m
Height: 0.144 m
Volume: 0.012921 m³
Total execution time: 0.65 seconds
Successful attempt! Volume within standard range.</t>
  </si>
  <si>
    <t>Measurements Package 5</t>
  </si>
  <si>
    <t>PCT5 Volume (m³)</t>
  </si>
  <si>
    <t>Package 5</t>
  </si>
  <si>
    <t>Object identified with 394 points.
Estimated volume of the OBB: 0.006 m³
Dimensions of the identified object:
Length: 0.330 m
Width: 0.315 m
Height: 0.331 m
Volume: 0.034287 m³
Total execution time: 0.30 seconds
Successful attempt! Volume within standard.</t>
  </si>
  <si>
    <t>Package 6 in position 1 (Vertical as in the photo)</t>
  </si>
  <si>
    <t>Package 6 in position 2 (Horizontal, opposite of the photo)</t>
  </si>
  <si>
    <t>Measurements Position 1 Package 6</t>
  </si>
  <si>
    <t>APE</t>
  </si>
  <si>
    <t>Measurements Position 2 Package 6</t>
  </si>
  <si>
    <t>Package divided into two parts.</t>
  </si>
  <si>
    <t>STDs</t>
  </si>
  <si>
    <t>Example of output from a valid test.(Position1)</t>
  </si>
  <si>
    <t>Example of output from a valid test. (Position 2)</t>
  </si>
  <si>
    <t>PCT6 Volume (m³)</t>
  </si>
  <si>
    <t>PCT6 Volume (m³) - Larger Part</t>
  </si>
  <si>
    <t>Package 6</t>
  </si>
  <si>
    <t>Object identified with 275 points.
Estimated volume of the OBB: 0.007 m³
Dimensions of the identified object:
Length: 0.275 m
Width: 0.258 m
Height: 0.539 m
Volume: 0.038272 m³
Total execution time: 0.19 seconds
Successful attempt! Volume within the standard.</t>
  </si>
  <si>
    <t xml:space="preserve">
Object identified with 1059 points.
Estimated volume of the OBB: 0.019 m³
Dimensions of the identified object:
Length: 0.529 m
Width: 0.529 m
Height: 0.279 m
Volume: 0.078069 m³
Total execution time: 0.86 seconds
Successful attempt! Volume within the standard.</t>
  </si>
  <si>
    <t>PCT6 Volume (m³) - Smaller Part</t>
  </si>
  <si>
    <t>Total Volume - Sum of the parts</t>
  </si>
  <si>
    <t>Package length 6 at position 2</t>
  </si>
  <si>
    <t>Package width 6 at position 2</t>
  </si>
  <si>
    <t>Package height 6 in position 2</t>
  </si>
  <si>
    <t>Position 1</t>
  </si>
  <si>
    <t>Position 2</t>
  </si>
  <si>
    <t>Regarding the separate volume</t>
  </si>
  <si>
    <t>Measurements Package 7</t>
  </si>
  <si>
    <t>PCT7 Volume (m³)</t>
  </si>
  <si>
    <t>Package 7</t>
  </si>
  <si>
    <t xml:space="preserve">
Object identified with 1979 points.
Estimated volume of the OBB: 0.032 m³
Dimensions of the identified object:
Length: 0.843 m
Width: 0.471 m
Height: 0.136 m
Volume: 0.054044 m³
Total execution time: 1.63 seconds</t>
  </si>
  <si>
    <t>Regular Packs (Pack 1, Pack 3, Pack 5, Pack 7) - Rectangular and cubic boxes</t>
  </si>
  <si>
    <t>Statistical analysis of average data</t>
  </si>
  <si>
    <t>Difference between manual measurement and measurement by algorithm</t>
  </si>
  <si>
    <t>Execution time</t>
  </si>
  <si>
    <t>OVERALL</t>
  </si>
  <si>
    <t>Overall average across all tests</t>
  </si>
  <si>
    <t>Average number of hits Volume</t>
  </si>
  <si>
    <t>Average of hits Length</t>
  </si>
  <si>
    <t>Average number of hits Width</t>
  </si>
  <si>
    <t>Average number of correct answers Height</t>
  </si>
  <si>
    <t>Average of correct answers DST</t>
  </si>
  <si>
    <t/>
  </si>
  <si>
    <t>Irregular Packages (Package 2, Pack 4, Pack 6_P1, Pack 6_P2) - Garment bag, cylinder and L-shaped box)</t>
  </si>
  <si>
    <t>Testing with the Convex Hull Volume Estimation algorithm</t>
  </si>
  <si>
    <t>Starting detection of the complete object with ConvexHull...
1 cluster found.
Object identified with 712 points.
Total execution time: 0.50 seconds
Object dimensions:
Length: 0.489 m | Width: 0.301 m | Height: 0.498 m
Dimensions (Convex Hull):
Base area: 0.130 m² | Height: 0.498 m
Total volume: 0.064924 m³</t>
  </si>
  <si>
    <t>TSD</t>
  </si>
  <si>
    <t>Object identified with 1102 points.
Total execution time: 1.05 seconds
Object dimensions:
Length: 0.476 m | Width: 0.434 m | Height: 0.192 m
Dimensions (Convex Hull):
Base area: 0.181 m² | Height: 0.192 m
Total volume: 0.034646 m³</t>
  </si>
  <si>
    <t xml:space="preserve">
1 cluster found.
Object identified with 1332 points.
Total execution time: 0.72 seconds
Object dimensions:
Length: 0.528 m | Width: 0.519 m | Height: 0.494 m
Dimensions (Convex Hull):
Base area: 0.258 m² | Height: 0.494 m
Total volume: 0.127569 m³
Successful attempt! Volume within the standard.</t>
  </si>
  <si>
    <t xml:space="preserve">
Object identified with 424 points.
Total execution time: 0.57 seconds
Object dimensions:
Length: 0.523 m | Width: 0.189 m | Height: 0.145 m
Dimensions (Convex Hull):
Base area: 0.081 m² | Height: 0.145 m
Total volume: 0.011683 m³
Successful attempt! Volume within the standard.</t>
  </si>
  <si>
    <t xml:space="preserve">
Object identified with 533 points.
Total execution time: 0.48 seconds
Object dimensions:
Length: 0.359 m | Width: 0.314 m | Height: 0.345 m
Dimensions (Convex Hull):
Base area: 0.097 m² | Height: 0.345 m
Total volume: 0.033563 m³</t>
  </si>
  <si>
    <t>Example of output from a valid test.(Position2)</t>
  </si>
  <si>
    <t xml:space="preserve">
Object identified with 1171 points.
Total execution time: 1.19 seconds
Object dimensions:
Length: 0.544 m | Width: 0.311 m | Height: 0.539 m
Dimensions (Convex Hull):
Base area: 0.153 m² | Height: 0.539 m
Total volume: 0.082193 m³</t>
  </si>
  <si>
    <t xml:space="preserve">
Object identified with 1409 points.
Total execution time: 1.64 seconds
Object dimensions:
Length: 0.590 m | Width: 0.556 m | Height: 0.274 m
Dimensions (Convex Hull):
Base area: 0.261 m² | Height: 0.274 m
Total volume: 0.071473 m³</t>
  </si>
  <si>
    <t>1.36</t>
  </si>
  <si>
    <t>Description of the test with 0º orientation (Position 1)</t>
  </si>
  <si>
    <t xml:space="preserve">
Object identified with 2416 points.
Total execution time: 3.49 seconds
Object dimensions:
Length: 0.895 m | Width: 0.525 m | Height: 0.142 m
Dimensions (Convex Hull):
Base area: 0.379 m² | Height: 0.142 m
Total volume: 0.053873 m³</t>
  </si>
  <si>
    <t>Test sequence for calculating packet volume using voxelization</t>
  </si>
  <si>
    <t>Testing with the Voxelization Volume Estimation algorithm</t>
  </si>
  <si>
    <t>absolute percentage error volume (ACE)</t>
  </si>
  <si>
    <t xml:space="preserve">
Object identified with 1334 points.
Total execution time: 2.70 seconds
Dimensions (Voxelization):
Length: 0.540 m | Width: 0.320 m | Height: 0.495 m
Occupied voxels: 1289 | Voxel size: 0.010 m
Estimated volume: 0.063816 m³</t>
  </si>
  <si>
    <t>Object identified with 1971 points.
Total execution time: 4.34 seconds
Dimensions (Voxelization):
Length: 0.510 m | Width: 0.480 m | Height: 0.179 m
Occupied voxels: 1902 | Voxel size: 0.010 m
Estimated volume: 0.034008 m³</t>
  </si>
  <si>
    <t xml:space="preserve">Object identified with 2730 points.
Total execution time: 10.54 seconds
Dimensions (Voxelization):
Length: 0.570 m | Width: 0.560 m | Height: 0.492 m
Occupied voxels: 2600 | Voxel size: 0.010 m
Estimated volume: 0.128023 m³
Successful attempt! Volume within the standard.
</t>
  </si>
  <si>
    <t xml:space="preserve">
Object identified with 852 points.
Total execution time: 1.28 seconds
Dimensions (Voxelization):
Length: 0.540 m | Width: 0.280 m | Height: 0.147 m
Occupied voxels: 816 | Voxel size: 0.010 m
Estimated volume: 0.012001 m³
Successful attempt! Volume within the standard.</t>
  </si>
  <si>
    <t xml:space="preserve">
2 clusters found.
Object identified with 1052 points.
Total execution time: 2.95 seconds
Dimensions (Voxelization):
Length: 0.380 m | Width: 0.350 m | Height: 0.327 m
Occupied voxels: 1035 | Voxel size: 0.010 m
Estimated volume: 0.033879 m³
Successful attempt! Volume within the standard.</t>
  </si>
  <si>
    <t xml:space="preserve">
Object identified with 1509 points.
Total execution time: 2.52 seconds
Dimensions (Voxelization):
Length: 0.540 m | Width: 0.360 m | Height: 0.540 m
Occupied voxels: 1445 | Voxel size: 0.010 m
Estimated volume: 0.078013 m³
Successful attempt! Volume within the standard.</t>
  </si>
  <si>
    <t xml:space="preserve">
Object identified with 2190 points.
Total execution time: 10.34 seconds
Dimensions (Voxelization):
Length: 0.580 m | Width: 0.560 m | Height: 0.274 m
Occupied voxels: 2132 | Voxel size: 0.010 m
Estimated volume: 0.058367 m³
Successful attempt! Volume within the standard.</t>
  </si>
  <si>
    <t>Distance Sensor Top (DST)</t>
  </si>
  <si>
    <t xml:space="preserve">
Object identified with 3371 points.
Total execution time: 19.71 seconds
Dimensions (Voxelization):
Length: 0.870 m | Width: 0.480 m | Height: 0.163 m
Occupied voxels: 3255 | Voxel size: 0.010 m
Estimated volume: 0.052993 m³
Successful attempt! Volume within the standard.</t>
  </si>
  <si>
    <t>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</si>
</sst>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00"/>
    <numFmt numFmtId="165" formatCode="0.0"/>
    <numFmt numFmtId="166" formatCode="0.0000"/>
    <numFmt numFmtId="167" formatCode="0.000000"/>
    <numFmt numFmtId="168" formatCode="0.0000000"/>
    <numFmt numFmtId="169" formatCode="0.00000"/>
    <numFmt numFmtId="170" formatCode="#,##0.000000"/>
    <numFmt numFmtId="171" formatCode="#,##0.000"/>
    <numFmt numFmtId="172" formatCode="0.00000000"/>
    <numFmt numFmtId="173" formatCode="#,##0.00000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9.0"/>
      <color theme="1"/>
      <name val="Arial"/>
      <scheme val="minor"/>
    </font>
    <font>
      <b/>
      <color theme="1"/>
      <name val="Arial"/>
    </font>
    <font>
      <sz val="8.0"/>
      <color theme="1"/>
      <name val="Arial"/>
      <scheme val="minor"/>
    </font>
    <font>
      <sz val="7.0"/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2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2" xfId="0" applyFont="1" applyNumberFormat="1"/>
    <xf borderId="0" fillId="0" fontId="2" numFmtId="165" xfId="0" applyAlignment="1" applyFont="1" applyNumberFormat="1">
      <alignment horizontal="center"/>
    </xf>
    <xf borderId="0" fillId="0" fontId="1" numFmtId="0" xfId="0" applyFont="1"/>
    <xf borderId="0" fillId="0" fontId="2" numFmtId="166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7" xfId="0" applyAlignment="1" applyFont="1" applyNumberFormat="1">
      <alignment horizontal="center"/>
    </xf>
    <xf borderId="0" fillId="0" fontId="2" numFmtId="168" xfId="0" applyAlignment="1" applyFont="1" applyNumberFormat="1">
      <alignment horizontal="center"/>
    </xf>
    <xf borderId="0" fillId="0" fontId="2" numFmtId="10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center"/>
    </xf>
    <xf borderId="0" fillId="0" fontId="2" numFmtId="169" xfId="0" applyFont="1" applyNumberFormat="1"/>
    <xf borderId="0" fillId="0" fontId="2" numFmtId="170" xfId="0" applyAlignment="1" applyFont="1" applyNumberFormat="1">
      <alignment horizontal="center"/>
    </xf>
    <xf borderId="0" fillId="0" fontId="2" numFmtId="167" xfId="0" applyFont="1" applyNumberFormat="1"/>
    <xf borderId="0" fillId="0" fontId="2" numFmtId="10" xfId="0" applyAlignment="1" applyFont="1" applyNumberFormat="1">
      <alignment horizontal="center"/>
    </xf>
    <xf borderId="0" fillId="0" fontId="2" numFmtId="171" xfId="0" applyAlignment="1" applyFont="1" applyNumberFormat="1">
      <alignment horizontal="center"/>
    </xf>
    <xf borderId="0" fillId="0" fontId="2" numFmtId="164" xfId="0" applyFont="1" applyNumberForma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0" fillId="2" fontId="2" numFmtId="0" xfId="0" applyFill="1" applyFont="1"/>
    <xf borderId="0" fillId="2" fontId="1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5" fillId="0" fontId="2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readingOrder="0" shrinkToFit="0" vertical="top" wrapText="1"/>
    </xf>
    <xf borderId="7" fillId="0" fontId="3" numFmtId="0" xfId="0" applyBorder="1" applyFont="1"/>
    <xf borderId="8" fillId="0" fontId="3" numFmtId="0" xfId="0" applyBorder="1" applyFont="1"/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readingOrder="0" shrinkToFit="0" vertical="top" wrapText="1"/>
    </xf>
    <xf borderId="1" fillId="0" fontId="2" numFmtId="172" xfId="0" applyBorder="1" applyFont="1" applyNumberFormat="1"/>
    <xf borderId="1" fillId="0" fontId="2" numFmtId="164" xfId="0" applyAlignment="1" applyBorder="1" applyFont="1" applyNumberFormat="1">
      <alignment readingOrder="0"/>
    </xf>
    <xf borderId="0" fillId="3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 vertical="center"/>
    </xf>
    <xf borderId="0" fillId="2" fontId="2" numFmtId="170" xfId="0" applyAlignment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0" fillId="0" fontId="2" numFmtId="168" xfId="0" applyFont="1" applyNumberFormat="1"/>
    <xf borderId="0" fillId="3" fontId="2" numFmtId="0" xfId="0" applyFont="1"/>
    <xf borderId="0" fillId="0" fontId="2" numFmtId="0" xfId="0" applyAlignment="1" applyFont="1">
      <alignment horizontal="center" readingOrder="0" vertical="center"/>
    </xf>
    <xf borderId="0" fillId="0" fontId="2" numFmtId="170" xfId="0" applyAlignment="1" applyFont="1" applyNumberFormat="1">
      <alignment readingOrder="0"/>
    </xf>
    <xf borderId="0" fillId="2" fontId="2" numFmtId="0" xfId="0" applyAlignment="1" applyFont="1">
      <alignment readingOrder="0" shrinkToFit="0" vertical="top" wrapText="1"/>
    </xf>
    <xf borderId="0" fillId="0" fontId="2" numFmtId="0" xfId="0" applyFont="1"/>
    <xf borderId="0" fillId="0" fontId="2" numFmtId="167" xfId="0" applyAlignment="1" applyFont="1" applyNumberFormat="1">
      <alignment readingOrder="0" shrinkToFit="0" vertical="top" wrapText="1"/>
    </xf>
    <xf borderId="1" fillId="0" fontId="5" numFmtId="0" xfId="0" applyAlignment="1" applyBorder="1" applyFont="1">
      <alignment readingOrder="0" vertical="bottom"/>
    </xf>
    <xf borderId="1" fillId="0" fontId="2" numFmtId="0" xfId="0" applyBorder="1" applyFont="1"/>
    <xf borderId="5" fillId="0" fontId="2" numFmtId="1" xfId="0" applyAlignment="1" applyBorder="1" applyFont="1" applyNumberFormat="1">
      <alignment readingOrder="0"/>
    </xf>
    <xf borderId="0" fillId="2" fontId="2" numFmtId="164" xfId="0" applyAlignment="1" applyFont="1" applyNumberFormat="1">
      <alignment readingOrder="0" shrinkToFit="0" vertical="top" wrapText="1"/>
    </xf>
    <xf borderId="0" fillId="2" fontId="2" numFmtId="167" xfId="0" applyAlignment="1" applyFont="1" applyNumberFormat="1">
      <alignment readingOrder="0" shrinkToFit="0" vertical="top" wrapText="1"/>
    </xf>
    <xf borderId="0" fillId="2" fontId="2" numFmtId="1" xfId="0" applyAlignment="1" applyFont="1" applyNumberForma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2" fontId="1" numFmtId="0" xfId="0" applyAlignment="1" applyFont="1">
      <alignment horizontal="center" readingOrder="0"/>
    </xf>
    <xf borderId="0" fillId="4" fontId="1" numFmtId="0" xfId="0" applyFill="1" applyFont="1"/>
    <xf borderId="0" fillId="4" fontId="1" numFmtId="0" xfId="0" applyAlignment="1" applyFont="1">
      <alignment readingOrder="0"/>
    </xf>
    <xf borderId="6" fillId="0" fontId="6" numFmtId="0" xfId="0" applyAlignment="1" applyBorder="1" applyFont="1">
      <alignment readingOrder="0" shrinkToFit="0" vertical="top" wrapText="1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readingOrder="0" shrinkToFit="0" vertical="top" wrapText="1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 readingOrder="0" vertical="center"/>
    </xf>
    <xf borderId="0" fillId="4" fontId="2" numFmtId="170" xfId="0" applyAlignment="1" applyFont="1" applyNumberFormat="1">
      <alignment readingOrder="0"/>
    </xf>
    <xf borderId="0" fillId="4" fontId="2" numFmtId="0" xfId="0" applyFont="1"/>
    <xf borderId="0" fillId="5" fontId="1" numFmtId="0" xfId="0" applyAlignment="1" applyFill="1" applyFont="1">
      <alignment readingOrder="0"/>
    </xf>
    <xf borderId="0" fillId="4" fontId="2" numFmtId="0" xfId="0" applyAlignment="1" applyFont="1">
      <alignment readingOrder="0" shrinkToFit="0" vertical="top" wrapText="1"/>
    </xf>
    <xf borderId="0" fillId="5" fontId="2" numFmtId="0" xfId="0" applyAlignment="1" applyFont="1">
      <alignment horizontal="center" readingOrder="0" vertical="center"/>
    </xf>
    <xf borderId="1" fillId="0" fontId="2" numFmtId="170" xfId="0" applyAlignment="1" applyBorder="1" applyFont="1" applyNumberFormat="1">
      <alignment readingOrder="0"/>
    </xf>
    <xf borderId="0" fillId="0" fontId="2" numFmtId="170" xfId="0" applyFont="1" applyNumberFormat="1"/>
    <xf borderId="0" fillId="5" fontId="2" numFmtId="0" xfId="0" applyFont="1"/>
    <xf borderId="0" fillId="4" fontId="2" numFmtId="164" xfId="0" applyAlignment="1" applyFont="1" applyNumberFormat="1">
      <alignment readingOrder="0" shrinkToFit="0" vertical="top" wrapText="1"/>
    </xf>
    <xf borderId="0" fillId="4" fontId="2" numFmtId="166" xfId="0" applyAlignment="1" applyFont="1" applyNumberFormat="1">
      <alignment readingOrder="0" shrinkToFit="0" vertical="top" wrapText="1"/>
    </xf>
    <xf borderId="1" fillId="0" fontId="2" numFmtId="164" xfId="0" applyBorder="1" applyFont="1" applyNumberFormat="1"/>
    <xf borderId="0" fillId="4" fontId="1" numFmtId="0" xfId="0" applyAlignment="1" applyFont="1">
      <alignment horizontal="center" readingOrder="0"/>
    </xf>
    <xf borderId="0" fillId="2" fontId="1" numFmtId="0" xfId="0" applyFont="1"/>
    <xf borderId="0" fillId="2" fontId="2" numFmtId="173" xfId="0" applyAlignment="1" applyFont="1" applyNumberFormat="1">
      <alignment readingOrder="0"/>
    </xf>
    <xf borderId="1" fillId="0" fontId="2" numFmtId="2" xfId="0" applyAlignment="1" applyBorder="1" applyFont="1" applyNumberFormat="1">
      <alignment readingOrder="0"/>
    </xf>
    <xf borderId="0" fillId="2" fontId="2" numFmtId="168" xfId="0" applyAlignment="1" applyFont="1" applyNumberFormat="1">
      <alignment readingOrder="0" shrinkToFit="0" vertical="top" wrapText="1"/>
    </xf>
    <xf borderId="1" fillId="0" fontId="2" numFmtId="168" xfId="0" applyAlignment="1" applyBorder="1" applyFont="1" applyNumberFormat="1">
      <alignment readingOrder="0"/>
    </xf>
    <xf borderId="0" fillId="2" fontId="2" numFmtId="173" xfId="0" applyAlignment="1" applyFont="1" applyNumberFormat="1">
      <alignment readingOrder="0" shrinkToFit="0" vertical="top" wrapText="1"/>
    </xf>
    <xf borderId="0" fillId="2" fontId="2" numFmtId="2" xfId="0" applyAlignment="1" applyFont="1" applyNumberForma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6" fillId="0" fontId="7" numFmtId="0" xfId="0" applyAlignment="1" applyBorder="1" applyFont="1">
      <alignment readingOrder="0" shrinkToFit="0" vertical="top" wrapText="1"/>
    </xf>
    <xf borderId="0" fillId="4" fontId="2" numFmtId="173" xfId="0" applyAlignment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0" fillId="0" fontId="2" numFmtId="166" xfId="0" applyFont="1" applyNumberFormat="1"/>
    <xf borderId="0" fillId="4" fontId="2" numFmtId="168" xfId="0" applyAlignment="1" applyFont="1" applyNumberFormat="1">
      <alignment readingOrder="0" shrinkToFit="0" vertical="top" wrapText="1"/>
    </xf>
    <xf borderId="0" fillId="4" fontId="2" numFmtId="173" xfId="0" applyAlignment="1" applyFont="1" applyNumberFormat="1">
      <alignment readingOrder="0" shrinkToFit="0" vertical="top" wrapText="1"/>
    </xf>
    <xf borderId="1" fillId="0" fontId="8" numFmtId="164" xfId="0" applyAlignment="1" applyBorder="1" applyFont="1" applyNumberFormat="1">
      <alignment horizontal="right" vertical="bottom"/>
    </xf>
    <xf borderId="0" fillId="4" fontId="2" numFmtId="2" xfId="0" applyAlignment="1" applyFont="1" applyNumberFormat="1">
      <alignment readingOrder="0" shrinkToFit="0" vertical="top" wrapText="1"/>
    </xf>
    <xf borderId="0" fillId="6" fontId="1" numFmtId="0" xfId="0" applyFill="1" applyFont="1"/>
    <xf borderId="0" fillId="6" fontId="1" numFmtId="0" xfId="0" applyAlignment="1" applyFont="1">
      <alignment readingOrder="0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readingOrder="0" shrinkToFit="0" vertical="top" wrapText="1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center" readingOrder="0" vertical="center"/>
    </xf>
    <xf borderId="0" fillId="6" fontId="2" numFmtId="173" xfId="0" applyAlignment="1" applyFont="1" applyNumberFormat="1">
      <alignment readingOrder="0"/>
    </xf>
    <xf borderId="0" fillId="6" fontId="2" numFmtId="171" xfId="0" applyAlignment="1" applyFont="1" applyNumberFormat="1">
      <alignment readingOrder="0"/>
    </xf>
    <xf borderId="0" fillId="6" fontId="2" numFmtId="171" xfId="0" applyFont="1" applyNumberFormat="1"/>
    <xf borderId="0" fillId="6" fontId="2" numFmtId="168" xfId="0" applyAlignment="1" applyFont="1" applyNumberFormat="1">
      <alignment readingOrder="0" shrinkToFit="0" vertical="top" wrapText="1"/>
    </xf>
    <xf borderId="0" fillId="6" fontId="2" numFmtId="0" xfId="0" applyAlignment="1" applyFont="1">
      <alignment readingOrder="0" shrinkToFit="0" vertical="top" wrapText="1"/>
    </xf>
    <xf borderId="0" fillId="6" fontId="2" numFmtId="164" xfId="0" applyAlignment="1" applyFont="1" applyNumberFormat="1">
      <alignment readingOrder="0"/>
    </xf>
    <xf borderId="0" fillId="6" fontId="2" numFmtId="164" xfId="0" applyFont="1" applyNumberFormat="1"/>
    <xf borderId="0" fillId="6" fontId="2" numFmtId="173" xfId="0" applyAlignment="1" applyFont="1" applyNumberFormat="1">
      <alignment readingOrder="0" shrinkToFit="0" vertical="top" wrapText="1"/>
    </xf>
    <xf borderId="0" fillId="6" fontId="2" numFmtId="0" xfId="0" applyFont="1"/>
    <xf borderId="0" fillId="6" fontId="2" numFmtId="164" xfId="0" applyAlignment="1" applyFont="1" applyNumberFormat="1">
      <alignment readingOrder="0" shrinkToFit="0" vertical="top" wrapText="1"/>
    </xf>
    <xf borderId="2" fillId="0" fontId="1" numFmtId="0" xfId="0" applyAlignment="1" applyBorder="1" applyFont="1">
      <alignment horizontal="center" readingOrder="0"/>
    </xf>
    <xf borderId="0" fillId="5" fontId="2" numFmtId="0" xfId="0" applyAlignment="1" applyFont="1">
      <alignment readingOrder="0"/>
    </xf>
    <xf borderId="0" fillId="6" fontId="1" numFmtId="0" xfId="0" applyAlignment="1" applyFont="1">
      <alignment horizontal="center" readingOrder="0"/>
    </xf>
    <xf borderId="0" fillId="4" fontId="2" numFmtId="171" xfId="0" applyAlignment="1" applyFont="1" applyNumberFormat="1">
      <alignment readingOrder="0"/>
    </xf>
    <xf borderId="0" fillId="4" fontId="2" numFmtId="171" xfId="0" applyAlignment="1" applyFont="1" applyNumberFormat="1">
      <alignment readingOrder="0" shrinkToFit="0" vertical="top" wrapText="1"/>
    </xf>
    <xf borderId="0" fillId="4" fontId="2" numFmtId="2" xfId="0" applyFont="1" applyNumberFormat="1"/>
    <xf borderId="0" fillId="6" fontId="2" numFmtId="2" xfId="0" applyAlignment="1" applyFont="1" applyNumberFormat="1">
      <alignment readingOrder="0" shrinkToFit="0" vertical="top" wrapText="1"/>
    </xf>
    <xf borderId="0" fillId="3" fontId="1" numFmtId="0" xfId="0" applyAlignment="1" applyFont="1">
      <alignment horizontal="center" readingOrder="0"/>
    </xf>
    <xf borderId="2" fillId="7" fontId="1" numFmtId="0" xfId="0" applyAlignment="1" applyBorder="1" applyFill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0" fillId="3" fontId="2" numFmtId="10" xfId="0" applyFont="1" applyNumberFormat="1"/>
    <xf borderId="0" fillId="6" fontId="2" numFmtId="169" xfId="0" applyFont="1" applyNumberFormat="1"/>
    <xf borderId="0" fillId="6" fontId="2" numFmtId="2" xfId="0" applyFont="1" applyNumberFormat="1"/>
    <xf quotePrefix="1" borderId="0" fillId="0" fontId="2" numFmtId="0" xfId="0" applyAlignment="1" applyFont="1">
      <alignment readingOrder="0"/>
    </xf>
    <xf borderId="0" fillId="5" fontId="1" numFmtId="0" xfId="0" applyAlignment="1" applyFont="1">
      <alignment horizontal="center" readingOrder="0"/>
    </xf>
    <xf borderId="0" fillId="0" fontId="2" numFmtId="4" xfId="0" applyFont="1" applyNumberFormat="1"/>
    <xf borderId="0" fillId="5" fontId="2" numFmtId="10" xfId="0" applyFont="1" applyNumberFormat="1"/>
    <xf borderId="0" fillId="4" fontId="2" numFmtId="164" xfId="0" applyFont="1" applyNumberFormat="1"/>
    <xf borderId="6" fillId="0" fontId="2" numFmtId="0" xfId="0" applyAlignment="1" applyBorder="1" applyFont="1">
      <alignment readingOrder="0" shrinkToFit="0" vertical="top" wrapText="1"/>
    </xf>
    <xf borderId="0" fillId="6" fontId="2" numFmtId="170" xfId="0" applyAlignment="1" applyFont="1" applyNumberFormat="1">
      <alignment readingOrder="0"/>
    </xf>
    <xf borderId="5" fillId="0" fontId="2" numFmtId="164" xfId="0" applyAlignment="1" applyBorder="1" applyFont="1" applyNumberFormat="1">
      <alignment readingOrder="0"/>
    </xf>
    <xf borderId="0" fillId="6" fontId="2" numFmtId="167" xfId="0" applyAlignment="1" applyFont="1" applyNumberFormat="1">
      <alignment readingOrder="0" shrinkToFit="0" vertical="top" wrapText="1"/>
    </xf>
    <xf borderId="6" fillId="0" fontId="9" numFmtId="0" xfId="0" applyAlignment="1" applyBorder="1" applyFont="1">
      <alignment readingOrder="0" shrinkToFit="0" vertical="top" wrapText="1"/>
    </xf>
    <xf borderId="0" fillId="4" fontId="2" numFmtId="171" xfId="0" applyFont="1" applyNumberFormat="1"/>
    <xf borderId="0" fillId="6" fontId="2" numFmtId="1" xfId="0" applyAlignment="1" applyFont="1" applyNumberForma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1" fillId="0" fontId="2" numFmtId="166" xfId="0" applyBorder="1" applyFont="1" applyNumberFormat="1"/>
    <xf borderId="1" fillId="0" fontId="2" numFmtId="10" xfId="0" applyBorder="1" applyFont="1" applyNumberFormat="1"/>
    <xf borderId="1" fillId="0" fontId="2" numFmtId="2" xfId="0" applyBorder="1" applyFont="1" applyNumberFormat="1"/>
    <xf borderId="1" fillId="0" fontId="2" numFmtId="165" xfId="0" applyAlignment="1" applyBorder="1" applyFont="1" applyNumberFormat="1">
      <alignment readingOrder="0"/>
    </xf>
    <xf borderId="0" fillId="4" fontId="2" numFmtId="167" xfId="0" applyAlignment="1" applyFont="1" applyNumberFormat="1">
      <alignment readingOrder="0" shrinkToFit="0" vertical="top" wrapText="1"/>
    </xf>
    <xf borderId="0" fillId="4" fontId="2" numFmtId="1" xfId="0" applyAlignment="1" applyFont="1" applyNumberFormat="1">
      <alignment readingOrder="0" shrinkToFit="0" vertical="top" wrapText="1"/>
    </xf>
    <xf borderId="0" fillId="6" fontId="2" numFmtId="165" xfId="0" applyAlignment="1" applyFont="1" applyNumberFormat="1">
      <alignment readingOrder="0" shrinkToFit="0" vertical="top" wrapText="1"/>
    </xf>
    <xf borderId="0" fillId="6" fontId="2" numFmtId="166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General!$B$3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General!$C$2:$J$2</c:f>
            </c:strRef>
          </c:cat>
          <c:val>
            <c:numRef>
              <c:f>General!$C$3:$J$3</c:f>
              <c:numCache/>
            </c:numRef>
          </c:val>
          <c:smooth val="0"/>
        </c:ser>
        <c:ser>
          <c:idx val="1"/>
          <c:order val="1"/>
          <c:tx>
            <c:strRef>
              <c:f>General!$B$4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General!$C$2:$J$2</c:f>
            </c:strRef>
          </c:cat>
          <c:val>
            <c:numRef>
              <c:f>General!$C$4:$J$4</c:f>
              <c:numCache/>
            </c:numRef>
          </c:val>
          <c:smooth val="0"/>
        </c:ser>
        <c:ser>
          <c:idx val="2"/>
          <c:order val="2"/>
          <c:tx>
            <c:strRef>
              <c:f>General!$B$5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General!$C$2:$J$2</c:f>
            </c:strRef>
          </c:cat>
          <c:val>
            <c:numRef>
              <c:f>General!$C$5:$J$5</c:f>
              <c:numCache/>
            </c:numRef>
          </c:val>
          <c:smooth val="0"/>
        </c:ser>
        <c:axId val="1232949188"/>
        <c:axId val="910712002"/>
      </c:lineChart>
      <c:catAx>
        <c:axId val="1232949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Package Types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712002"/>
      </c:catAx>
      <c:valAx>
        <c:axId val="910712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949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General!$B$30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General!$C$29:$J$29</c:f>
            </c:strRef>
          </c:cat>
          <c:val>
            <c:numRef>
              <c:f>General!$C$30:$J$30</c:f>
              <c:numCache/>
            </c:numRef>
          </c:val>
          <c:smooth val="0"/>
        </c:ser>
        <c:ser>
          <c:idx val="1"/>
          <c:order val="1"/>
          <c:tx>
            <c:strRef>
              <c:f>General!$B$31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General!$C$29:$J$29</c:f>
            </c:strRef>
          </c:cat>
          <c:val>
            <c:numRef>
              <c:f>General!$C$31:$J$31</c:f>
              <c:numCache/>
            </c:numRef>
          </c:val>
          <c:smooth val="0"/>
        </c:ser>
        <c:ser>
          <c:idx val="2"/>
          <c:order val="2"/>
          <c:tx>
            <c:strRef>
              <c:f>General!$B$32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General!$C$29:$J$29</c:f>
            </c:strRef>
          </c:cat>
          <c:val>
            <c:numRef>
              <c:f>General!$C$32:$J$32</c:f>
              <c:numCache/>
            </c:numRef>
          </c:val>
          <c:smooth val="0"/>
        </c:ser>
        <c:axId val="1544717786"/>
        <c:axId val="282407834"/>
      </c:lineChart>
      <c:catAx>
        <c:axId val="1544717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Package Types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407834"/>
      </c:catAx>
      <c:valAx>
        <c:axId val="282407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points (PCD)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717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2105025</xdr:colOff>
      <xdr:row>7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1952625</xdr:colOff>
      <xdr:row>33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4" max="4" width="15.13"/>
    <col customWidth="1" min="5" max="5" width="18.0"/>
    <col customWidth="1" min="7" max="7" width="22.38"/>
  </cols>
  <sheetData>
    <row r="1">
      <c r="B1" s="1" t="s">
        <v>0</v>
      </c>
    </row>
    <row r="2">
      <c r="B2" s="2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3" t="s">
        <v>9</v>
      </c>
    </row>
    <row r="3">
      <c r="B3" s="1" t="s">
        <v>10</v>
      </c>
      <c r="C3" s="4">
        <f>BoundingBox!R10</f>
        <v>0.3325</v>
      </c>
      <c r="D3" s="5">
        <f>BoundingBox!R23</f>
        <v>1.16</v>
      </c>
      <c r="E3" s="4">
        <f>BoundingBox!R33</f>
        <v>0.7033333333</v>
      </c>
      <c r="F3" s="4">
        <f>BoundingBox!R42</f>
        <v>0.5566666667</v>
      </c>
      <c r="G3" s="5">
        <f>BoundingBox!R53</f>
        <v>0.2833333333</v>
      </c>
      <c r="H3" s="5">
        <f>BoundingBox!R63</f>
        <v>0.3266666667</v>
      </c>
      <c r="I3" s="5">
        <f>BoundingBox!Z63</f>
        <v>0.7333333333</v>
      </c>
      <c r="J3" s="4">
        <f>BoundingBox!R73</f>
        <v>1.886666667</v>
      </c>
      <c r="K3" s="6">
        <f t="shared" ref="K3:K5" si="1">AVERAGE(C3:J3)</f>
        <v>0.7478125</v>
      </c>
    </row>
    <row r="4">
      <c r="B4" s="1" t="s">
        <v>11</v>
      </c>
      <c r="C4" s="4">
        <f>ConvexHull!R9</f>
        <v>0.53</v>
      </c>
      <c r="D4" s="5">
        <f>ConvexHull!R22</f>
        <v>1.046666667</v>
      </c>
      <c r="E4" s="5">
        <f>ConvexHull!R32</f>
        <v>0.8066666667</v>
      </c>
      <c r="F4" s="5">
        <f>ConvexHull!R41</f>
        <v>0.65</v>
      </c>
      <c r="G4" s="5">
        <f>ConvexHull!R52</f>
        <v>0.4575</v>
      </c>
      <c r="H4" s="5">
        <f>ConvexHull!R62</f>
        <v>0.8566666667</v>
      </c>
      <c r="I4" s="5">
        <f>ConvexHull!Y62</f>
        <v>1.6225</v>
      </c>
      <c r="J4" s="5">
        <f>ConvexHull!R72</f>
        <v>2.55</v>
      </c>
      <c r="K4" s="6">
        <f t="shared" si="1"/>
        <v>1.065</v>
      </c>
    </row>
    <row r="5">
      <c r="B5" s="1" t="s">
        <v>12</v>
      </c>
      <c r="C5" s="5">
        <f>Voxelization!R9</f>
        <v>6.213333333</v>
      </c>
      <c r="D5" s="5">
        <f>Voxelization!R22</f>
        <v>5.706666667</v>
      </c>
      <c r="E5" s="7">
        <f>Voxelization!R32</f>
        <v>11.74333333</v>
      </c>
      <c r="F5" s="5">
        <f>Voxelization!R41</f>
        <v>5.343333333</v>
      </c>
      <c r="G5" s="4">
        <f>Voxelization!R52</f>
        <v>3.693333333</v>
      </c>
      <c r="H5" s="5">
        <f>Voxelization!R62</f>
        <v>2.49</v>
      </c>
      <c r="I5" s="4">
        <f>Voxelization!Y62</f>
        <v>12.31666667</v>
      </c>
      <c r="J5" s="5">
        <f>Voxelization!R72</f>
        <v>17.00333333</v>
      </c>
      <c r="K5" s="6">
        <f t="shared" si="1"/>
        <v>8.06375</v>
      </c>
    </row>
    <row r="20">
      <c r="B20" s="8"/>
    </row>
    <row r="21">
      <c r="I21" s="8"/>
    </row>
    <row r="28">
      <c r="B28" s="1" t="s">
        <v>13</v>
      </c>
    </row>
    <row r="29">
      <c r="B29" s="2"/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14</v>
      </c>
      <c r="I29" s="1" t="s">
        <v>7</v>
      </c>
      <c r="J29" s="1" t="s">
        <v>8</v>
      </c>
      <c r="K29" s="3" t="s">
        <v>9</v>
      </c>
    </row>
    <row r="30">
      <c r="B30" s="1" t="s">
        <v>10</v>
      </c>
      <c r="C30" s="4">
        <f>BoundingBox!R15</f>
        <v>593.75</v>
      </c>
      <c r="D30" s="5">
        <f>BoundingBox!R28</f>
        <v>1188</v>
      </c>
      <c r="E30" s="5">
        <f>BoundingBox!R38</f>
        <v>1252</v>
      </c>
      <c r="F30" s="9">
        <f>BoundingBox!R47</f>
        <v>398.3333333</v>
      </c>
      <c r="G30" s="5">
        <f>BoundingBox!R58</f>
        <v>406.3333333</v>
      </c>
      <c r="H30" s="5">
        <f>BoundingBox!R68</f>
        <v>350.3333333</v>
      </c>
      <c r="I30" s="5">
        <f>BoundingBox!Z68</f>
        <v>944.3333333</v>
      </c>
      <c r="J30" s="5">
        <f>BoundingBox!R78</f>
        <v>2153.333333</v>
      </c>
      <c r="K30" s="6">
        <f t="shared" ref="K30:K32" si="2">AVERAGE(C30:J30)</f>
        <v>910.8020833</v>
      </c>
    </row>
    <row r="31">
      <c r="B31" s="1" t="s">
        <v>11</v>
      </c>
      <c r="C31" s="4">
        <f>ConvexHull!R14</f>
        <v>724</v>
      </c>
      <c r="D31" s="5">
        <f>ConvexHull!R27</f>
        <v>1127.333333</v>
      </c>
      <c r="E31" s="10">
        <f>ConvexHull!R37</f>
        <v>1380.666667</v>
      </c>
      <c r="F31" s="5">
        <f>ConvexHull!R46</f>
        <v>457</v>
      </c>
      <c r="G31" s="5">
        <f>ConvexHull!R57</f>
        <v>579</v>
      </c>
      <c r="H31" s="5">
        <f>ConvexHull!R67</f>
        <v>1171</v>
      </c>
      <c r="I31" s="5">
        <f>ConvexHull!Y67</f>
        <v>1434</v>
      </c>
      <c r="J31" s="5">
        <f>ConvexHull!R77</f>
        <v>2215</v>
      </c>
      <c r="K31" s="6">
        <f t="shared" si="2"/>
        <v>1136</v>
      </c>
    </row>
    <row r="32">
      <c r="B32" s="1" t="s">
        <v>12</v>
      </c>
      <c r="C32" s="10">
        <f>Voxelization!R14</f>
        <v>1357.666667</v>
      </c>
      <c r="D32" s="10">
        <f>Voxelization!R27</f>
        <v>2004.666667</v>
      </c>
      <c r="E32" s="10">
        <f>Voxelization!R37</f>
        <v>2743.5</v>
      </c>
      <c r="F32" s="5">
        <f>Voxelization!R46</f>
        <v>850</v>
      </c>
      <c r="G32" s="5">
        <f>Voxelization!R57</f>
        <v>1047</v>
      </c>
      <c r="H32" s="5">
        <f>Voxelization!R67</f>
        <v>1496</v>
      </c>
      <c r="I32" s="11">
        <f>Voxelization!Y67</f>
        <v>2219</v>
      </c>
      <c r="J32" s="11">
        <f>Voxelization!R77</f>
        <v>3371</v>
      </c>
      <c r="K32" s="6">
        <f t="shared" si="2"/>
        <v>1886.104167</v>
      </c>
    </row>
    <row r="55">
      <c r="C55" s="12" t="s">
        <v>15</v>
      </c>
    </row>
    <row r="56">
      <c r="D56" s="1" t="s">
        <v>16</v>
      </c>
      <c r="E56" s="1" t="s">
        <v>17</v>
      </c>
      <c r="F56" s="1" t="s">
        <v>18</v>
      </c>
      <c r="G56" s="1" t="s">
        <v>19</v>
      </c>
      <c r="H56" s="3" t="s">
        <v>20</v>
      </c>
      <c r="I56" s="1" t="s">
        <v>21</v>
      </c>
      <c r="L56" s="13"/>
    </row>
    <row r="57">
      <c r="C57" s="1" t="s">
        <v>10</v>
      </c>
      <c r="D57" s="14">
        <f>BoundingBox!R11</f>
        <v>0.06364125</v>
      </c>
      <c r="E57" s="15">
        <f>BoundingBox!R34</f>
        <v>0.128227</v>
      </c>
      <c r="F57" s="15">
        <f>BoundingBox!R54</f>
        <v>0.03478066667</v>
      </c>
      <c r="G57" s="15">
        <f>BoundingBox!R74</f>
        <v>0.05564033333</v>
      </c>
      <c r="H57" s="16">
        <f>BoundingBox!Q85</f>
        <v>0.02046728064</v>
      </c>
      <c r="I57" s="17">
        <f>BoundingBox!S85*1000</f>
        <v>1.575355992</v>
      </c>
      <c r="L57" s="18"/>
    </row>
    <row r="58">
      <c r="C58" s="1" t="s">
        <v>11</v>
      </c>
      <c r="D58" s="14">
        <f>ConvexHull!R10</f>
        <v>0.066232</v>
      </c>
      <c r="E58" s="14">
        <f>ConvexHull!R33</f>
        <v>0.1281683333</v>
      </c>
      <c r="F58" s="14">
        <f>ConvexHull!R53</f>
        <v>0.0333815</v>
      </c>
      <c r="G58" s="14">
        <f>ConvexHull!R73</f>
        <v>0.05417233333</v>
      </c>
      <c r="H58" s="16">
        <f>ConvexHull!Q84</f>
        <v>0.02267963854</v>
      </c>
      <c r="I58" s="17">
        <f>ConvexHull!S84*1000</f>
        <v>1.421368771</v>
      </c>
      <c r="L58" s="18"/>
    </row>
    <row r="59">
      <c r="C59" s="1" t="s">
        <v>12</v>
      </c>
      <c r="D59" s="14">
        <f>Voxelization!R10</f>
        <v>0.06387433333</v>
      </c>
      <c r="E59" s="14">
        <f>Voxelization!R33</f>
        <v>0.1280073333</v>
      </c>
      <c r="F59" s="14">
        <f>Voxelization!R53</f>
        <v>0.03369966667</v>
      </c>
      <c r="G59" s="14">
        <f>Voxelization!R73</f>
        <v>0.05106</v>
      </c>
      <c r="H59" s="16">
        <f>Voxelization!Q84</f>
        <v>0.03636709183</v>
      </c>
      <c r="I59" s="17">
        <f>Voxelization!S84*1000</f>
        <v>2.758640708</v>
      </c>
      <c r="L59" s="18"/>
    </row>
    <row r="61">
      <c r="K61" s="19"/>
    </row>
    <row r="62">
      <c r="C62" s="12" t="s">
        <v>22</v>
      </c>
    </row>
    <row r="63">
      <c r="D63" s="1" t="s">
        <v>23</v>
      </c>
      <c r="E63" s="1" t="s">
        <v>24</v>
      </c>
      <c r="F63" s="1" t="s">
        <v>25</v>
      </c>
      <c r="G63" s="3" t="s">
        <v>26</v>
      </c>
      <c r="H63" s="1" t="s">
        <v>20</v>
      </c>
      <c r="I63" s="1" t="s">
        <v>27</v>
      </c>
      <c r="J63" s="13"/>
      <c r="K63" s="13"/>
      <c r="L63" s="13"/>
    </row>
    <row r="64">
      <c r="C64" s="1" t="s">
        <v>10</v>
      </c>
      <c r="D64" s="20">
        <f>BoundingBox!R24</f>
        <v>0.043492</v>
      </c>
      <c r="E64" s="14">
        <f>BoundingBox!R43</f>
        <v>0.01197433333</v>
      </c>
      <c r="F64" s="14">
        <f>BoundingBox!R64</f>
        <v>0.03968733333</v>
      </c>
      <c r="G64" s="21">
        <f>BoundingBox!Z64</f>
        <v>0.07842433333</v>
      </c>
      <c r="H64" s="22">
        <f>BoundingBox!Q95</f>
        <v>0.1611094148</v>
      </c>
      <c r="I64" s="23">
        <f>BoundingBox!S95*1000</f>
        <v>20.16739403</v>
      </c>
      <c r="J64" s="18" t="str">
        <f>BoundingBox!S71</f>
        <v/>
      </c>
      <c r="K64" s="18" t="str">
        <f>BoundingBox!S81</f>
        <v/>
      </c>
      <c r="L64" s="18" t="str">
        <f>BoundingBox!O92</f>
        <v/>
      </c>
    </row>
    <row r="65">
      <c r="C65" s="1" t="s">
        <v>11</v>
      </c>
      <c r="D65" s="14">
        <f>ConvexHull!R23</f>
        <v>0.03434033333</v>
      </c>
      <c r="E65" s="14">
        <f>ConvexHull!R42</f>
        <v>0.01241825</v>
      </c>
      <c r="F65" s="14">
        <f>ConvexHull!R63</f>
        <v>0.08370266667</v>
      </c>
      <c r="G65" s="21">
        <f>ConvexHull!Y63</f>
        <v>0.0714745</v>
      </c>
      <c r="H65" s="22">
        <f>ConvexHull!Q94</f>
        <v>0.09487909254</v>
      </c>
      <c r="I65" s="23">
        <f>ConvexHull!S94*1000</f>
        <v>5.843405367</v>
      </c>
      <c r="J65" s="18" t="str">
        <f>ConvexHull!S70</f>
        <v/>
      </c>
      <c r="K65" s="18" t="str">
        <f>ConvexHull!S80</f>
        <v/>
      </c>
      <c r="L65" s="18" t="str">
        <f>ConvexHull!O91</f>
        <v/>
      </c>
    </row>
    <row r="66">
      <c r="C66" s="1" t="s">
        <v>12</v>
      </c>
      <c r="D66" s="14">
        <f>Voxelization!R23</f>
        <v>0.03418766667</v>
      </c>
      <c r="E66" s="14">
        <f>Voxelization!R42</f>
        <v>0.012085</v>
      </c>
      <c r="F66" s="14">
        <f>Voxelization!R63</f>
        <v>0.07829366667</v>
      </c>
      <c r="G66" s="21">
        <f>Voxelization!Y63</f>
        <v>0.05840966667</v>
      </c>
      <c r="H66" s="22">
        <f>Voxelization!Q94</f>
        <v>0.124687367</v>
      </c>
      <c r="I66" s="23">
        <f>Voxelization!S94*1000</f>
        <v>10.7561642</v>
      </c>
      <c r="J66" s="18" t="str">
        <f>Voxelization!S70</f>
        <v/>
      </c>
      <c r="K66" s="18" t="str">
        <f>Voxelization!S80</f>
        <v/>
      </c>
      <c r="L66" s="18" t="str">
        <f>Voxelization!O91</f>
        <v/>
      </c>
    </row>
    <row r="70">
      <c r="C70" s="12" t="s">
        <v>28</v>
      </c>
    </row>
    <row r="71">
      <c r="D71" s="3" t="s">
        <v>29</v>
      </c>
      <c r="E71" s="3" t="s">
        <v>30</v>
      </c>
      <c r="F71" s="3" t="s">
        <v>31</v>
      </c>
      <c r="G71" s="3" t="s">
        <v>32</v>
      </c>
    </row>
    <row r="72">
      <c r="C72" s="1" t="s">
        <v>10</v>
      </c>
      <c r="D72" s="6">
        <f>BoundingBox!$S86</f>
        <v>0.03220248438</v>
      </c>
      <c r="E72" s="6">
        <f>BoundingBox!$S87</f>
        <v>0.05369142605</v>
      </c>
      <c r="F72" s="6">
        <f>BoundingBox!$S88</f>
        <v>0.03553762903</v>
      </c>
      <c r="G72" s="6">
        <f>BoundingBox!$S89</f>
        <v>0.03553762903</v>
      </c>
    </row>
    <row r="73">
      <c r="C73" s="1" t="s">
        <v>11</v>
      </c>
      <c r="D73" s="6">
        <f>ConvexHull!$S85</f>
        <v>0.04156736886</v>
      </c>
      <c r="E73" s="6">
        <f>ConvexHull!$S86</f>
        <v>0.05730619513</v>
      </c>
      <c r="F73" s="6">
        <f>ConvexHull!$S87</f>
        <v>0.02233141974</v>
      </c>
      <c r="G73" s="6">
        <f>ConvexHull!$S88</f>
        <v>0.02233141974</v>
      </c>
    </row>
    <row r="74">
      <c r="C74" s="1" t="s">
        <v>12</v>
      </c>
      <c r="D74" s="6">
        <f>Voxelization!$S85</f>
        <v>0.06008674285</v>
      </c>
      <c r="E74" s="6">
        <f>Voxelization!$S86</f>
        <v>0.05717298313</v>
      </c>
      <c r="F74" s="6">
        <f>Voxelization!$S87</f>
        <v>0.01635542723</v>
      </c>
      <c r="G74" s="6">
        <f>Voxelization!$S88</f>
        <v>0.01635542723</v>
      </c>
    </row>
    <row r="75">
      <c r="D75" s="6"/>
      <c r="E75" s="6"/>
      <c r="F75" s="6"/>
      <c r="G75" s="6"/>
    </row>
    <row r="76">
      <c r="C76" s="12" t="s">
        <v>33</v>
      </c>
    </row>
    <row r="77">
      <c r="D77" s="3" t="s">
        <v>29</v>
      </c>
      <c r="E77" s="3" t="s">
        <v>30</v>
      </c>
      <c r="F77" s="3" t="s">
        <v>31</v>
      </c>
      <c r="G77" s="3" t="s">
        <v>32</v>
      </c>
    </row>
    <row r="78">
      <c r="C78" s="1" t="s">
        <v>10</v>
      </c>
      <c r="D78" s="6">
        <f>BoundingBox!$S96</f>
        <v>0.1154729406</v>
      </c>
      <c r="E78" s="6">
        <f>BoundingBox!$S97</f>
        <v>0.02397726196</v>
      </c>
      <c r="F78" s="6">
        <f>BoundingBox!$S98</f>
        <v>0.01074497769</v>
      </c>
      <c r="G78" s="6">
        <f>BoundingBox!$S99</f>
        <v>0.01074497769</v>
      </c>
    </row>
    <row r="79">
      <c r="C79" s="1" t="s">
        <v>11</v>
      </c>
      <c r="D79" s="6">
        <f>ConvexHull!$S95</f>
        <v>0.03799154041</v>
      </c>
      <c r="E79" s="6">
        <f>ConvexHull!$S96</f>
        <v>0.044829837</v>
      </c>
      <c r="F79" s="6">
        <f>ConvexHull!$S97</f>
        <v>0.01329607891</v>
      </c>
      <c r="G79" s="6">
        <f>ConvexHull!$S98</f>
        <v>0.01329607891</v>
      </c>
    </row>
    <row r="80">
      <c r="C80" s="1" t="s">
        <v>12</v>
      </c>
      <c r="D80" s="6">
        <f>Voxelization!$S95</f>
        <v>0.04458138625</v>
      </c>
      <c r="E80" s="6">
        <f>Voxelization!$S96</f>
        <v>0.0770686923</v>
      </c>
      <c r="F80" s="6">
        <f>Voxelization!$S97</f>
        <v>0.01839383955</v>
      </c>
      <c r="G80" s="6">
        <f>Voxelization!$S98</f>
        <v>0.01839383955</v>
      </c>
    </row>
    <row r="81">
      <c r="D81" s="24"/>
      <c r="E81" s="24"/>
      <c r="F81" s="24"/>
      <c r="G81" s="6"/>
    </row>
    <row r="84">
      <c r="C84" s="3" t="s">
        <v>34</v>
      </c>
    </row>
    <row r="85">
      <c r="D85" s="3" t="s">
        <v>29</v>
      </c>
      <c r="E85" s="3" t="s">
        <v>30</v>
      </c>
      <c r="F85" s="3" t="s">
        <v>31</v>
      </c>
      <c r="G85" s="3" t="s">
        <v>32</v>
      </c>
      <c r="H85" s="3"/>
    </row>
    <row r="86">
      <c r="C86" s="1" t="s">
        <v>10</v>
      </c>
      <c r="D86" s="6">
        <f>BoundingBox!$W88</f>
        <v>0.08168919757</v>
      </c>
      <c r="E86" s="6">
        <f>BoundingBox!$W89</f>
        <v>0.04272001873</v>
      </c>
      <c r="F86" s="6">
        <f>BoundingBox!$W90</f>
        <v>0.02714774392</v>
      </c>
      <c r="G86" s="6">
        <f>BoundingBox!$W91</f>
        <v>0.02714774392</v>
      </c>
    </row>
    <row r="87">
      <c r="C87" s="1" t="s">
        <v>11</v>
      </c>
      <c r="D87" s="6">
        <f>ConvexHull!$W87</f>
        <v>0.03975340656</v>
      </c>
      <c r="E87" s="6">
        <f>ConvexHull!$W88</f>
        <v>0.05121776312</v>
      </c>
      <c r="F87" s="6">
        <f>ConvexHull!$W89</f>
        <v>0.01821476812</v>
      </c>
      <c r="G87" s="6">
        <f>ConvexHull!$W90</f>
        <v>0.01821476812</v>
      </c>
    </row>
    <row r="88">
      <c r="C88" s="1" t="s">
        <v>12</v>
      </c>
      <c r="D88" s="6">
        <f>Voxelization!$W87</f>
        <v>0.05290518248</v>
      </c>
      <c r="E88" s="6">
        <f>Voxelization!$W88</f>
        <v>0.06785400995</v>
      </c>
      <c r="F88" s="6">
        <f>Voxelization!$W89</f>
        <v>0.01740450133</v>
      </c>
      <c r="G88" s="6">
        <f>Voxelization!$W90</f>
        <v>0.01740450133</v>
      </c>
    </row>
  </sheetData>
  <mergeCells count="2">
    <mergeCell ref="B1:J1"/>
    <mergeCell ref="B28:J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38"/>
    <col customWidth="1" min="3" max="3" width="14.0"/>
    <col customWidth="1" min="4" max="4" width="13.75"/>
    <col customWidth="1" min="6" max="6" width="16.25"/>
    <col customWidth="1" min="9" max="9" width="15.13"/>
    <col customWidth="1" min="10" max="10" width="16.75"/>
    <col customWidth="1" min="14" max="14" width="25.25"/>
    <col customWidth="1" min="15" max="15" width="22.75"/>
    <col customWidth="1" min="17" max="17" width="23.75"/>
    <col customWidth="1" min="19" max="19" width="32.88"/>
    <col customWidth="1" min="20" max="20" width="26.0"/>
    <col customWidth="1" min="21" max="21" width="36.63"/>
    <col customWidth="1" min="22" max="22" width="32.38"/>
    <col customWidth="1" min="23" max="23" width="21.0"/>
    <col customWidth="1" min="25" max="25" width="24.5"/>
    <col customWidth="1" min="27" max="27" width="14.25"/>
    <col customWidth="1" min="32" max="32" width="21.0"/>
  </cols>
  <sheetData>
    <row r="2">
      <c r="A2" s="12" t="s">
        <v>35</v>
      </c>
    </row>
    <row r="6">
      <c r="A6" s="12" t="s">
        <v>36</v>
      </c>
    </row>
    <row r="7">
      <c r="A7" s="12" t="s">
        <v>37</v>
      </c>
    </row>
    <row r="8">
      <c r="Q8" s="12" t="s">
        <v>38</v>
      </c>
    </row>
    <row r="9">
      <c r="A9" s="25" t="s">
        <v>39</v>
      </c>
      <c r="B9" s="26" t="s">
        <v>40</v>
      </c>
      <c r="C9" s="27"/>
      <c r="D9" s="28"/>
      <c r="F9" s="29"/>
      <c r="G9" s="30" t="s">
        <v>41</v>
      </c>
      <c r="J9" s="29"/>
      <c r="K9" s="29"/>
      <c r="L9" s="29"/>
      <c r="M9" s="29"/>
      <c r="N9" s="31"/>
      <c r="O9" s="32" t="s">
        <v>42</v>
      </c>
      <c r="P9" s="8"/>
      <c r="Q9" s="32" t="s">
        <v>43</v>
      </c>
      <c r="R9" s="32" t="s">
        <v>44</v>
      </c>
      <c r="S9" s="3" t="s">
        <v>45</v>
      </c>
      <c r="T9" s="3" t="s">
        <v>46</v>
      </c>
      <c r="U9" s="8"/>
      <c r="V9" s="33" t="s">
        <v>47</v>
      </c>
    </row>
    <row r="10">
      <c r="A10" s="34" t="s">
        <v>48</v>
      </c>
      <c r="B10" s="35" t="s">
        <v>49</v>
      </c>
      <c r="C10" s="36"/>
      <c r="D10" s="37"/>
      <c r="F10" s="38" t="s">
        <v>50</v>
      </c>
      <c r="G10" s="39" t="s">
        <v>51</v>
      </c>
      <c r="H10" s="39" t="s">
        <v>52</v>
      </c>
      <c r="I10" s="39" t="s">
        <v>53</v>
      </c>
      <c r="J10" s="30" t="s">
        <v>54</v>
      </c>
      <c r="K10" s="30" t="s">
        <v>55</v>
      </c>
      <c r="L10" s="30" t="s">
        <v>56</v>
      </c>
      <c r="M10" s="30" t="s">
        <v>57</v>
      </c>
      <c r="N10" s="32" t="s">
        <v>58</v>
      </c>
      <c r="O10" s="40">
        <f>0.485*0.275*0.495</f>
        <v>0.066020625</v>
      </c>
      <c r="Q10" s="32" t="s">
        <v>59</v>
      </c>
      <c r="R10" s="41">
        <f>G16</f>
        <v>0.3325</v>
      </c>
      <c r="V10" s="42"/>
      <c r="W10" s="43"/>
      <c r="X10" s="43"/>
      <c r="Y10" s="43"/>
    </row>
    <row r="11">
      <c r="A11" s="44"/>
      <c r="B11" s="45"/>
      <c r="D11" s="46"/>
      <c r="F11" s="47">
        <v>1.0</v>
      </c>
      <c r="G11" s="48">
        <v>0.38</v>
      </c>
      <c r="H11" s="49">
        <v>0.06356</v>
      </c>
      <c r="I11" s="47">
        <v>635.0</v>
      </c>
      <c r="J11" s="47">
        <v>0.43</v>
      </c>
      <c r="K11" s="47">
        <v>0.327</v>
      </c>
      <c r="L11" s="47">
        <v>0.452</v>
      </c>
      <c r="M11" s="29">
        <f t="shared" ref="M11:M14" si="1">1.55-L11-0.1</f>
        <v>0.998</v>
      </c>
      <c r="N11" s="32" t="s">
        <v>29</v>
      </c>
      <c r="O11" s="25">
        <v>0.485</v>
      </c>
      <c r="Q11" s="32" t="s">
        <v>60</v>
      </c>
      <c r="R11" s="50">
        <f>H16</f>
        <v>0.06364125</v>
      </c>
      <c r="S11" s="16">
        <f t="shared" ref="S11:S14" si="2">R11/O10</f>
        <v>0.9639601261</v>
      </c>
      <c r="T11" s="51">
        <f t="shared" ref="T11:T14" si="3">O10-R11</f>
        <v>0.002379375</v>
      </c>
      <c r="V11" s="52">
        <f>(ABS(H11-O10)/O10+ABS(H12-O10)/O10+ABS(H13-O10)/O10+ABS(H14-O10)/O10)</f>
        <v>0.1441594956</v>
      </c>
      <c r="W11" s="53"/>
      <c r="X11" s="54"/>
    </row>
    <row r="12">
      <c r="A12" s="44"/>
      <c r="B12" s="45"/>
      <c r="D12" s="46"/>
      <c r="F12" s="47">
        <v>2.0</v>
      </c>
      <c r="G12" s="48">
        <v>0.31</v>
      </c>
      <c r="H12" s="55">
        <v>0.064272</v>
      </c>
      <c r="I12" s="55">
        <v>596.0</v>
      </c>
      <c r="J12" s="47">
        <v>0.452</v>
      </c>
      <c r="K12" s="47">
        <v>0.312</v>
      </c>
      <c r="L12" s="47">
        <v>0.456</v>
      </c>
      <c r="M12" s="29">
        <f t="shared" si="1"/>
        <v>0.994</v>
      </c>
      <c r="N12" s="32" t="s">
        <v>30</v>
      </c>
      <c r="O12" s="25">
        <v>0.275</v>
      </c>
      <c r="Q12" s="32" t="s">
        <v>29</v>
      </c>
      <c r="R12" s="25">
        <f>J16</f>
        <v>0.44675</v>
      </c>
      <c r="S12" s="16">
        <f t="shared" si="2"/>
        <v>0.9211340206</v>
      </c>
      <c r="T12" s="56">
        <f t="shared" si="3"/>
        <v>0.03825</v>
      </c>
      <c r="W12" s="53"/>
      <c r="X12" s="43"/>
      <c r="Y12" s="43"/>
    </row>
    <row r="13">
      <c r="A13" s="44"/>
      <c r="B13" s="45"/>
      <c r="D13" s="46"/>
      <c r="F13" s="47">
        <v>3.0</v>
      </c>
      <c r="G13" s="48">
        <v>0.29</v>
      </c>
      <c r="H13" s="55">
        <v>0.062734</v>
      </c>
      <c r="I13" s="55">
        <v>592.0</v>
      </c>
      <c r="J13" s="47">
        <v>0.446</v>
      </c>
      <c r="K13" s="47">
        <v>0.301</v>
      </c>
      <c r="L13" s="47">
        <v>0.467</v>
      </c>
      <c r="M13" s="29">
        <f t="shared" si="1"/>
        <v>0.983</v>
      </c>
      <c r="N13" s="32" t="s">
        <v>31</v>
      </c>
      <c r="O13" s="41">
        <v>0.495</v>
      </c>
      <c r="Q13" s="32" t="s">
        <v>30</v>
      </c>
      <c r="R13" s="25">
        <f>K16</f>
        <v>0.31225</v>
      </c>
      <c r="S13" s="16">
        <f t="shared" si="2"/>
        <v>1.135454545</v>
      </c>
      <c r="T13" s="56">
        <f t="shared" si="3"/>
        <v>-0.03725</v>
      </c>
      <c r="W13" s="53"/>
      <c r="X13" s="57"/>
      <c r="Y13" s="43"/>
    </row>
    <row r="14">
      <c r="A14" s="44"/>
      <c r="B14" s="45"/>
      <c r="D14" s="46"/>
      <c r="F14" s="47">
        <v>4.0</v>
      </c>
      <c r="G14" s="48">
        <v>0.35</v>
      </c>
      <c r="H14" s="55">
        <v>0.063999</v>
      </c>
      <c r="I14" s="55">
        <v>552.0</v>
      </c>
      <c r="J14" s="47">
        <v>0.459</v>
      </c>
      <c r="K14" s="47">
        <v>0.309</v>
      </c>
      <c r="L14" s="47">
        <v>0.451</v>
      </c>
      <c r="M14" s="29">
        <f t="shared" si="1"/>
        <v>0.999</v>
      </c>
      <c r="N14" s="58" t="s">
        <v>61</v>
      </c>
      <c r="O14" s="59">
        <f>1.55 -0.495-0.1</f>
        <v>0.955</v>
      </c>
      <c r="Q14" s="32" t="s">
        <v>31</v>
      </c>
      <c r="R14" s="25">
        <f>L16</f>
        <v>0.4565</v>
      </c>
      <c r="S14" s="16">
        <f t="shared" si="2"/>
        <v>0.9222222222</v>
      </c>
      <c r="T14" s="24">
        <f t="shared" si="3"/>
        <v>0.0385</v>
      </c>
      <c r="W14" s="53"/>
      <c r="X14" s="43"/>
      <c r="Y14" s="43"/>
    </row>
    <row r="15">
      <c r="A15" s="44"/>
      <c r="B15" s="45"/>
      <c r="D15" s="46"/>
      <c r="F15" s="47">
        <v>5.0</v>
      </c>
      <c r="G15" s="48"/>
      <c r="H15" s="55"/>
      <c r="I15" s="55"/>
      <c r="J15" s="29"/>
      <c r="K15" s="29"/>
      <c r="L15" s="29"/>
      <c r="M15" s="29"/>
      <c r="Q15" s="32" t="s">
        <v>53</v>
      </c>
      <c r="R15" s="60">
        <f>I16</f>
        <v>593.75</v>
      </c>
      <c r="W15" s="53"/>
      <c r="X15" s="43"/>
      <c r="Y15" s="43"/>
    </row>
    <row r="16">
      <c r="A16" s="44"/>
      <c r="B16" s="45"/>
      <c r="D16" s="46"/>
      <c r="F16" s="38" t="s">
        <v>62</v>
      </c>
      <c r="G16" s="61">
        <f t="shared" ref="G16:M16" si="4">AVERAGEA(G11:G14)</f>
        <v>0.3325</v>
      </c>
      <c r="H16" s="62">
        <f t="shared" si="4"/>
        <v>0.06364125</v>
      </c>
      <c r="I16" s="63">
        <f t="shared" si="4"/>
        <v>593.75</v>
      </c>
      <c r="J16" s="29">
        <f t="shared" si="4"/>
        <v>0.44675</v>
      </c>
      <c r="K16" s="29">
        <f t="shared" si="4"/>
        <v>0.31225</v>
      </c>
      <c r="L16" s="29">
        <f t="shared" si="4"/>
        <v>0.4565</v>
      </c>
      <c r="M16" s="29">
        <f t="shared" si="4"/>
        <v>0.9935</v>
      </c>
      <c r="Q16" s="58" t="s">
        <v>61</v>
      </c>
      <c r="R16" s="59">
        <f>M16</f>
        <v>0.9935</v>
      </c>
      <c r="S16" s="16">
        <f>R16/O14</f>
        <v>1.040314136</v>
      </c>
      <c r="T16" s="56">
        <f>O14-R16</f>
        <v>-0.0385</v>
      </c>
      <c r="V16" s="53"/>
      <c r="W16" s="64"/>
      <c r="X16" s="57"/>
      <c r="Y16" s="64"/>
    </row>
    <row r="17">
      <c r="A17" s="65"/>
      <c r="B17" s="66"/>
      <c r="C17" s="67"/>
      <c r="D17" s="68"/>
      <c r="F17" s="38" t="s">
        <v>63</v>
      </c>
      <c r="G17" s="55"/>
      <c r="H17" s="55">
        <f>H16/O10</f>
        <v>0.9639601261</v>
      </c>
      <c r="I17" s="55"/>
      <c r="J17" s="29">
        <f>J16/O11</f>
        <v>0.9211340206</v>
      </c>
      <c r="K17" s="29">
        <f>K16/O12</f>
        <v>1.135454545</v>
      </c>
      <c r="L17" s="29">
        <f>L16/O13</f>
        <v>0.9222222222</v>
      </c>
      <c r="M17" s="29">
        <f>M16/O14</f>
        <v>1.040314136</v>
      </c>
    </row>
    <row r="18">
      <c r="F18" s="69" t="s">
        <v>64</v>
      </c>
      <c r="G18" s="29"/>
      <c r="H18" s="29">
        <f>SUM((H11-O10)^2,(H12-O10)^2,(H13-O10)^2,(H14-O10)^2)</f>
        <v>0.00002400123631</v>
      </c>
      <c r="I18" s="29"/>
      <c r="J18" s="29">
        <f>SUM((J11-$O11)^2,(J12-$O11)^2,(J13-$O11)^2,(J14-$O11)^2)</f>
        <v>0.006311</v>
      </c>
      <c r="K18" s="29">
        <f>SUM((K11-$O12)^2,(K12-$O12)^2,(K13-$O12)^2,(K14-$O12)^2)</f>
        <v>0.005905</v>
      </c>
      <c r="L18" s="29">
        <f>SUM((L11-$O13)^2,(L12-$O13)^2,(L13-$O13)^2,(L14-$O13)^2)</f>
        <v>0.00609</v>
      </c>
      <c r="M18" s="29">
        <f>SUM((M11-$O14)^2,(M12-$O14)^2,(M13-$O14)^2,(M14-$O14)^2)</f>
        <v>0.00609</v>
      </c>
    </row>
    <row r="20">
      <c r="A20" s="25" t="s">
        <v>39</v>
      </c>
      <c r="B20" s="26" t="s">
        <v>40</v>
      </c>
      <c r="C20" s="27"/>
      <c r="D20" s="28"/>
      <c r="F20" s="70"/>
      <c r="G20" s="71" t="s">
        <v>65</v>
      </c>
      <c r="J20" s="70"/>
      <c r="K20" s="70"/>
      <c r="L20" s="70"/>
      <c r="M20" s="70"/>
    </row>
    <row r="21">
      <c r="A21" s="34" t="s">
        <v>66</v>
      </c>
      <c r="B21" s="72" t="s">
        <v>67</v>
      </c>
      <c r="C21" s="36"/>
      <c r="D21" s="37"/>
      <c r="F21" s="73" t="s">
        <v>50</v>
      </c>
      <c r="G21" s="74" t="s">
        <v>51</v>
      </c>
      <c r="H21" s="74" t="s">
        <v>52</v>
      </c>
      <c r="I21" s="74" t="s">
        <v>53</v>
      </c>
      <c r="J21" s="71" t="s">
        <v>54</v>
      </c>
      <c r="K21" s="71" t="s">
        <v>55</v>
      </c>
      <c r="L21" s="71" t="s">
        <v>56</v>
      </c>
      <c r="M21" s="71" t="s">
        <v>57</v>
      </c>
    </row>
    <row r="22">
      <c r="A22" s="44"/>
      <c r="B22" s="45"/>
      <c r="D22" s="46"/>
      <c r="F22" s="75">
        <v>1.0</v>
      </c>
      <c r="G22" s="76">
        <v>1.35</v>
      </c>
      <c r="H22" s="77">
        <v>0.042596</v>
      </c>
      <c r="I22" s="75">
        <v>1199.0</v>
      </c>
      <c r="J22" s="75">
        <v>0.492</v>
      </c>
      <c r="K22" s="75">
        <v>0.44</v>
      </c>
      <c r="L22" s="75">
        <v>0.197</v>
      </c>
      <c r="M22" s="78">
        <f t="shared" ref="M22:M23" si="5">1.55-L22-0.1</f>
        <v>1.253</v>
      </c>
      <c r="N22" s="59"/>
      <c r="O22" s="25" t="s">
        <v>68</v>
      </c>
      <c r="Q22" s="32" t="s">
        <v>43</v>
      </c>
      <c r="R22" s="32" t="s">
        <v>44</v>
      </c>
      <c r="S22" s="12" t="s">
        <v>45</v>
      </c>
      <c r="T22" s="12" t="s">
        <v>46</v>
      </c>
      <c r="V22" s="79" t="s">
        <v>47</v>
      </c>
    </row>
    <row r="23">
      <c r="A23" s="44"/>
      <c r="B23" s="45"/>
      <c r="D23" s="46"/>
      <c r="F23" s="75">
        <v>2.0</v>
      </c>
      <c r="G23" s="76">
        <v>0.97</v>
      </c>
      <c r="H23" s="80">
        <v>0.044388</v>
      </c>
      <c r="I23" s="80">
        <v>1177.0</v>
      </c>
      <c r="J23" s="75">
        <v>0.492</v>
      </c>
      <c r="K23" s="75">
        <v>0.432</v>
      </c>
      <c r="L23" s="75">
        <v>0.209</v>
      </c>
      <c r="M23" s="78">
        <f t="shared" si="5"/>
        <v>1.241</v>
      </c>
      <c r="N23" s="32" t="s">
        <v>69</v>
      </c>
      <c r="O23" s="59">
        <f>0.44*0.46*0.21</f>
        <v>0.042504</v>
      </c>
      <c r="Q23" s="32" t="s">
        <v>59</v>
      </c>
      <c r="R23" s="41">
        <f>G27</f>
        <v>1.16</v>
      </c>
      <c r="V23" s="81"/>
    </row>
    <row r="24">
      <c r="A24" s="44"/>
      <c r="B24" s="45"/>
      <c r="D24" s="46"/>
      <c r="F24" s="75">
        <v>3.0</v>
      </c>
      <c r="G24" s="76"/>
      <c r="H24" s="80"/>
      <c r="I24" s="80"/>
      <c r="J24" s="78"/>
      <c r="K24" s="78"/>
      <c r="L24" s="78"/>
      <c r="M24" s="78"/>
      <c r="N24" s="32" t="s">
        <v>29</v>
      </c>
      <c r="O24" s="25">
        <v>0.46</v>
      </c>
      <c r="Q24" s="32" t="s">
        <v>60</v>
      </c>
      <c r="R24" s="82">
        <f>H27</f>
        <v>0.043492</v>
      </c>
      <c r="S24" s="16">
        <f t="shared" ref="S24:S27" si="6">R24/O23</f>
        <v>1.023244871</v>
      </c>
      <c r="T24" s="83">
        <f t="shared" ref="T24:T27" si="7">O23-R24</f>
        <v>-0.000988</v>
      </c>
      <c r="V24" s="84">
        <f>(ABS(H22-O23)/O23+ABS(H23-O23)/O23)</f>
        <v>0.04648974214</v>
      </c>
    </row>
    <row r="25">
      <c r="A25" s="44"/>
      <c r="B25" s="45"/>
      <c r="D25" s="46"/>
      <c r="F25" s="75">
        <v>4.0</v>
      </c>
      <c r="G25" s="76"/>
      <c r="H25" s="80"/>
      <c r="I25" s="80"/>
      <c r="J25" s="78"/>
      <c r="K25" s="78"/>
      <c r="L25" s="78"/>
      <c r="M25" s="78"/>
      <c r="N25" s="32" t="s">
        <v>30</v>
      </c>
      <c r="O25" s="25">
        <v>0.44</v>
      </c>
      <c r="Q25" s="32" t="s">
        <v>29</v>
      </c>
      <c r="R25" s="41">
        <f>J27</f>
        <v>0.492</v>
      </c>
      <c r="S25" s="16">
        <f t="shared" si="6"/>
        <v>1.069565217</v>
      </c>
      <c r="T25" s="24">
        <f t="shared" si="7"/>
        <v>-0.032</v>
      </c>
    </row>
    <row r="26">
      <c r="A26" s="44"/>
      <c r="B26" s="45"/>
      <c r="D26" s="46"/>
      <c r="F26" s="75">
        <v>5.0</v>
      </c>
      <c r="G26" s="76"/>
      <c r="H26" s="80"/>
      <c r="I26" s="80"/>
      <c r="J26" s="78"/>
      <c r="K26" s="78"/>
      <c r="L26" s="78"/>
      <c r="M26" s="78"/>
      <c r="N26" s="32" t="s">
        <v>31</v>
      </c>
      <c r="O26" s="25">
        <v>0.21</v>
      </c>
      <c r="Q26" s="32" t="s">
        <v>30</v>
      </c>
      <c r="R26" s="41">
        <f>K27</f>
        <v>0.436</v>
      </c>
      <c r="S26" s="16">
        <f t="shared" si="6"/>
        <v>0.9909090909</v>
      </c>
      <c r="T26" s="24">
        <f t="shared" si="7"/>
        <v>0.004</v>
      </c>
    </row>
    <row r="27">
      <c r="A27" s="44"/>
      <c r="B27" s="45"/>
      <c r="D27" s="46"/>
      <c r="F27" s="73" t="s">
        <v>62</v>
      </c>
      <c r="G27" s="85">
        <f t="shared" ref="G27:M27" si="8">AVERAGEA(G22:G25)</f>
        <v>1.16</v>
      </c>
      <c r="H27" s="86">
        <f t="shared" si="8"/>
        <v>0.043492</v>
      </c>
      <c r="I27" s="85">
        <f t="shared" si="8"/>
        <v>1188</v>
      </c>
      <c r="J27" s="85">
        <f t="shared" si="8"/>
        <v>0.492</v>
      </c>
      <c r="K27" s="85">
        <f t="shared" si="8"/>
        <v>0.436</v>
      </c>
      <c r="L27" s="85">
        <f t="shared" si="8"/>
        <v>0.203</v>
      </c>
      <c r="M27" s="85">
        <f t="shared" si="8"/>
        <v>1.247</v>
      </c>
      <c r="N27" s="58" t="s">
        <v>61</v>
      </c>
      <c r="O27" s="87">
        <f>1.55-O26-0.1</f>
        <v>1.24</v>
      </c>
      <c r="Q27" s="32" t="s">
        <v>31</v>
      </c>
      <c r="R27" s="41">
        <f>L27</f>
        <v>0.203</v>
      </c>
      <c r="S27" s="16">
        <f t="shared" si="6"/>
        <v>0.9666666667</v>
      </c>
      <c r="T27" s="24">
        <f t="shared" si="7"/>
        <v>0.007</v>
      </c>
    </row>
    <row r="28">
      <c r="A28" s="65"/>
      <c r="B28" s="66"/>
      <c r="C28" s="67"/>
      <c r="D28" s="68"/>
      <c r="F28" s="73" t="s">
        <v>63</v>
      </c>
      <c r="G28" s="78"/>
      <c r="H28" s="78">
        <f>H27/O23</f>
        <v>1.023244871</v>
      </c>
      <c r="I28" s="78"/>
      <c r="J28" s="78">
        <f>J27/O24</f>
        <v>1.069565217</v>
      </c>
      <c r="K28" s="78">
        <f>K27/O25</f>
        <v>0.9909090909</v>
      </c>
      <c r="L28" s="78">
        <f>L27/O26</f>
        <v>0.9666666667</v>
      </c>
      <c r="M28" s="78">
        <f>M27/O27</f>
        <v>1.005645161</v>
      </c>
      <c r="Q28" s="32" t="s">
        <v>53</v>
      </c>
      <c r="R28" s="41">
        <f>I27</f>
        <v>1188</v>
      </c>
    </row>
    <row r="29">
      <c r="F29" s="88" t="s">
        <v>64</v>
      </c>
      <c r="G29" s="78"/>
      <c r="H29" s="78">
        <f>SUM((H22-$O23)^2,(H23-$O23)^2)</f>
        <v>0.00000355792</v>
      </c>
      <c r="I29" s="78"/>
      <c r="J29" s="78">
        <f>SUM((J22-$O24)^2,(J23-$O24)^2)</f>
        <v>0.002048</v>
      </c>
      <c r="K29" s="78">
        <f>SUM((K22-$O25)^2,(K23-$O25)^2)</f>
        <v>0.000064</v>
      </c>
      <c r="L29" s="78">
        <f>SUM((L22-$O26)^2,(L23-$O26)^2)</f>
        <v>0.00017</v>
      </c>
      <c r="M29" s="78">
        <f>SUM((M22-$O27)^2,(M23-$O27)^2)</f>
        <v>0.00017</v>
      </c>
      <c r="Q29" s="58" t="s">
        <v>61</v>
      </c>
      <c r="R29" s="87">
        <f>1.55-R27-0.1</f>
        <v>1.247</v>
      </c>
      <c r="S29" s="16">
        <f>R29/O27</f>
        <v>1.005645161</v>
      </c>
      <c r="T29" s="24">
        <f>O27-R29</f>
        <v>-0.007</v>
      </c>
    </row>
    <row r="30">
      <c r="Q30" s="3"/>
      <c r="S30" s="16"/>
    </row>
    <row r="31">
      <c r="A31" s="25" t="s">
        <v>39</v>
      </c>
      <c r="B31" s="26" t="s">
        <v>40</v>
      </c>
      <c r="C31" s="27"/>
      <c r="D31" s="28"/>
      <c r="F31" s="89"/>
      <c r="G31" s="30" t="s">
        <v>70</v>
      </c>
      <c r="J31" s="89"/>
      <c r="K31" s="89"/>
      <c r="L31" s="89"/>
      <c r="M31" s="89"/>
    </row>
    <row r="32">
      <c r="A32" s="34" t="s">
        <v>71</v>
      </c>
      <c r="B32" s="72" t="s">
        <v>72</v>
      </c>
      <c r="C32" s="36"/>
      <c r="D32" s="37"/>
      <c r="F32" s="38" t="s">
        <v>50</v>
      </c>
      <c r="G32" s="39" t="s">
        <v>51</v>
      </c>
      <c r="H32" s="39" t="s">
        <v>52</v>
      </c>
      <c r="I32" s="39" t="s">
        <v>53</v>
      </c>
      <c r="J32" s="30" t="s">
        <v>54</v>
      </c>
      <c r="K32" s="30" t="s">
        <v>55</v>
      </c>
      <c r="L32" s="30" t="s">
        <v>56</v>
      </c>
      <c r="M32" s="30" t="s">
        <v>57</v>
      </c>
      <c r="N32" s="31"/>
      <c r="O32" s="32" t="s">
        <v>68</v>
      </c>
      <c r="P32" s="8"/>
      <c r="Q32" s="32" t="s">
        <v>43</v>
      </c>
      <c r="R32" s="32" t="s">
        <v>44</v>
      </c>
      <c r="S32" s="12" t="s">
        <v>45</v>
      </c>
      <c r="T32" s="12" t="s">
        <v>46</v>
      </c>
      <c r="V32" s="33" t="s">
        <v>47</v>
      </c>
    </row>
    <row r="33">
      <c r="A33" s="44"/>
      <c r="B33" s="45"/>
      <c r="D33" s="46"/>
      <c r="F33" s="47">
        <v>1.0</v>
      </c>
      <c r="G33" s="48">
        <v>0.78</v>
      </c>
      <c r="H33" s="90">
        <v>0.127857</v>
      </c>
      <c r="I33" s="47">
        <v>1292.0</v>
      </c>
      <c r="J33" s="47">
        <v>0.522</v>
      </c>
      <c r="K33" s="47">
        <v>0.52</v>
      </c>
      <c r="L33" s="47">
        <v>0.471</v>
      </c>
      <c r="M33" s="29">
        <f t="shared" ref="M33:M35" si="9">1.55-L33-0.1</f>
        <v>0.979</v>
      </c>
      <c r="N33" s="32" t="s">
        <v>73</v>
      </c>
      <c r="O33" s="59">
        <f>0.505*0.505*0.505</f>
        <v>0.128787625</v>
      </c>
      <c r="Q33" s="32" t="s">
        <v>59</v>
      </c>
      <c r="R33" s="91">
        <f>G38</f>
        <v>0.7033333333</v>
      </c>
      <c r="V33" s="42"/>
    </row>
    <row r="34">
      <c r="A34" s="44"/>
      <c r="B34" s="45"/>
      <c r="D34" s="46"/>
      <c r="F34" s="47">
        <v>2.0</v>
      </c>
      <c r="G34" s="48">
        <v>0.69</v>
      </c>
      <c r="H34" s="92">
        <v>0.128748</v>
      </c>
      <c r="I34" s="55">
        <v>1270.0</v>
      </c>
      <c r="J34" s="47">
        <v>0.53</v>
      </c>
      <c r="K34" s="47">
        <v>0.514</v>
      </c>
      <c r="L34" s="47">
        <v>0.473</v>
      </c>
      <c r="M34" s="29">
        <f t="shared" si="9"/>
        <v>0.977</v>
      </c>
      <c r="N34" s="32" t="s">
        <v>29</v>
      </c>
      <c r="O34" s="25">
        <v>0.505</v>
      </c>
      <c r="Q34" s="32" t="s">
        <v>60</v>
      </c>
      <c r="R34" s="93">
        <f>H38</f>
        <v>0.128227</v>
      </c>
      <c r="S34" s="16">
        <f t="shared" ref="S34:S37" si="10">R34/O33</f>
        <v>0.9956469032</v>
      </c>
      <c r="T34" s="51">
        <f t="shared" ref="T34:T37" si="11">O33-R34</f>
        <v>0.000560625</v>
      </c>
      <c r="V34" s="52">
        <f>(ABS(H33-O33)/O33+ABS(H34-O33)/O33+ABS(H35-O33)/O33)</f>
        <v>0.01305929044</v>
      </c>
    </row>
    <row r="35">
      <c r="A35" s="44"/>
      <c r="B35" s="45"/>
      <c r="D35" s="46"/>
      <c r="F35" s="47">
        <v>3.0</v>
      </c>
      <c r="G35" s="48">
        <v>0.64</v>
      </c>
      <c r="H35" s="92">
        <v>0.128076</v>
      </c>
      <c r="I35" s="55">
        <v>1194.0</v>
      </c>
      <c r="J35" s="47">
        <v>0.522</v>
      </c>
      <c r="K35" s="47">
        <v>0.52</v>
      </c>
      <c r="L35" s="47">
        <v>0.472</v>
      </c>
      <c r="M35" s="29">
        <f t="shared" si="9"/>
        <v>0.978</v>
      </c>
      <c r="N35" s="32" t="s">
        <v>30</v>
      </c>
      <c r="O35" s="25">
        <v>0.505</v>
      </c>
      <c r="Q35" s="32" t="s">
        <v>29</v>
      </c>
      <c r="R35" s="41">
        <f>J38</f>
        <v>0.5246666667</v>
      </c>
      <c r="S35" s="16">
        <f t="shared" si="10"/>
        <v>1.038943894</v>
      </c>
      <c r="T35" s="24">
        <f t="shared" si="11"/>
        <v>-0.01966666667</v>
      </c>
    </row>
    <row r="36">
      <c r="A36" s="44"/>
      <c r="B36" s="45"/>
      <c r="D36" s="46"/>
      <c r="F36" s="47">
        <v>4.0</v>
      </c>
      <c r="G36" s="48"/>
      <c r="H36" s="94"/>
      <c r="I36" s="55"/>
      <c r="J36" s="29"/>
      <c r="K36" s="29"/>
      <c r="L36" s="29"/>
      <c r="M36" s="29"/>
      <c r="N36" s="32" t="s">
        <v>31</v>
      </c>
      <c r="O36" s="25">
        <v>0.505</v>
      </c>
      <c r="Q36" s="32" t="s">
        <v>30</v>
      </c>
      <c r="R36" s="41">
        <f>K38</f>
        <v>0.518</v>
      </c>
      <c r="S36" s="16">
        <f t="shared" si="10"/>
        <v>1.025742574</v>
      </c>
      <c r="T36" s="24">
        <f t="shared" si="11"/>
        <v>-0.013</v>
      </c>
    </row>
    <row r="37">
      <c r="A37" s="44"/>
      <c r="B37" s="45"/>
      <c r="D37" s="46"/>
      <c r="F37" s="47">
        <v>5.0</v>
      </c>
      <c r="G37" s="48"/>
      <c r="H37" s="55"/>
      <c r="I37" s="55"/>
      <c r="J37" s="29"/>
      <c r="K37" s="29"/>
      <c r="L37" s="29"/>
      <c r="M37" s="29"/>
      <c r="N37" s="58" t="s">
        <v>61</v>
      </c>
      <c r="O37" s="87">
        <f>1.55-O36-0.1</f>
        <v>0.945</v>
      </c>
      <c r="Q37" s="32" t="s">
        <v>31</v>
      </c>
      <c r="R37" s="25">
        <f>L35</f>
        <v>0.472</v>
      </c>
      <c r="S37" s="16">
        <f t="shared" si="10"/>
        <v>0.9346534653</v>
      </c>
      <c r="T37" s="56">
        <f t="shared" si="11"/>
        <v>0.033</v>
      </c>
    </row>
    <row r="38">
      <c r="A38" s="44"/>
      <c r="B38" s="45"/>
      <c r="D38" s="46"/>
      <c r="F38" s="38" t="s">
        <v>62</v>
      </c>
      <c r="G38" s="95">
        <f t="shared" ref="G38:M38" si="12">AVERAGEA(G33:G36)</f>
        <v>0.7033333333</v>
      </c>
      <c r="H38" s="92">
        <f t="shared" si="12"/>
        <v>0.128227</v>
      </c>
      <c r="I38" s="61">
        <f t="shared" si="12"/>
        <v>1252</v>
      </c>
      <c r="J38" s="61">
        <f t="shared" si="12"/>
        <v>0.5246666667</v>
      </c>
      <c r="K38" s="61">
        <f t="shared" si="12"/>
        <v>0.518</v>
      </c>
      <c r="L38" s="61">
        <f t="shared" si="12"/>
        <v>0.472</v>
      </c>
      <c r="M38" s="61">
        <f t="shared" si="12"/>
        <v>0.978</v>
      </c>
      <c r="Q38" s="32" t="s">
        <v>53</v>
      </c>
      <c r="R38" s="41">
        <f>I38</f>
        <v>1252</v>
      </c>
    </row>
    <row r="39">
      <c r="A39" s="65"/>
      <c r="B39" s="66"/>
      <c r="C39" s="67"/>
      <c r="D39" s="68"/>
      <c r="F39" s="38" t="s">
        <v>63</v>
      </c>
      <c r="G39" s="29"/>
      <c r="H39" s="29">
        <f>H38/O33</f>
        <v>0.9956469032</v>
      </c>
      <c r="I39" s="29"/>
      <c r="J39" s="29">
        <f>J38/O34</f>
        <v>1.038943894</v>
      </c>
      <c r="K39" s="29">
        <f>K38/O35</f>
        <v>1.025742574</v>
      </c>
      <c r="L39" s="29">
        <f>L38/O36</f>
        <v>0.9346534653</v>
      </c>
      <c r="M39" s="29">
        <f>M38/O37</f>
        <v>1.034920635</v>
      </c>
      <c r="Q39" s="58" t="s">
        <v>61</v>
      </c>
      <c r="R39" s="87">
        <f>M38</f>
        <v>0.978</v>
      </c>
      <c r="S39" s="16">
        <f>R39/O37</f>
        <v>1.034920635</v>
      </c>
      <c r="T39" s="24">
        <f>O37-R39</f>
        <v>-0.033</v>
      </c>
    </row>
    <row r="40">
      <c r="A40" s="53"/>
      <c r="B40" s="96"/>
      <c r="C40" s="96"/>
      <c r="D40" s="96"/>
      <c r="F40" s="69" t="s">
        <v>64</v>
      </c>
      <c r="G40" s="29"/>
      <c r="H40" s="29">
        <f>SUM((H33-O33)^2,(H34-O33)^2,(H35-O33)^2)</f>
        <v>0.000001374043172</v>
      </c>
      <c r="I40" s="29"/>
      <c r="J40" s="29">
        <f>SUM((J33-$O34)^2,(J34-$O34)^2,(J35-$O34)^2)</f>
        <v>0.001203</v>
      </c>
      <c r="K40" s="29">
        <f>SUM((K33-$O35)^2,(K34-$O35)^2,(K35-$O35)^2)</f>
        <v>0.000531</v>
      </c>
      <c r="L40" s="29">
        <f>SUM((L33-$O36)^2,(L34-$O36)^2,(L35-$O36)^2)</f>
        <v>0.003269</v>
      </c>
      <c r="M40" s="29">
        <f>SUM((M33-$O37)^2,(M34-$O37)^2,(M35-$O37)^2)</f>
        <v>0.003269</v>
      </c>
    </row>
    <row r="41">
      <c r="N41" s="59"/>
      <c r="O41" s="32" t="s">
        <v>68</v>
      </c>
      <c r="P41" s="8"/>
      <c r="Q41" s="32" t="s">
        <v>43</v>
      </c>
      <c r="R41" s="59"/>
      <c r="S41" s="12" t="s">
        <v>45</v>
      </c>
      <c r="T41" s="12" t="s">
        <v>46</v>
      </c>
      <c r="V41" s="79" t="s">
        <v>47</v>
      </c>
    </row>
    <row r="42">
      <c r="A42" s="25" t="s">
        <v>39</v>
      </c>
      <c r="B42" s="26" t="s">
        <v>40</v>
      </c>
      <c r="C42" s="27"/>
      <c r="D42" s="28"/>
      <c r="F42" s="70"/>
      <c r="G42" s="71" t="s">
        <v>74</v>
      </c>
      <c r="J42" s="70"/>
      <c r="K42" s="70"/>
      <c r="L42" s="70"/>
      <c r="M42" s="70"/>
      <c r="N42" s="32" t="s">
        <v>75</v>
      </c>
      <c r="O42" s="59">
        <f>0.51*0.16*0.155</f>
        <v>0.012648</v>
      </c>
      <c r="Q42" s="32" t="s">
        <v>59</v>
      </c>
      <c r="R42" s="91">
        <f>G49</f>
        <v>0.5566666667</v>
      </c>
      <c r="V42" s="81"/>
    </row>
    <row r="43">
      <c r="A43" s="34" t="s">
        <v>76</v>
      </c>
      <c r="B43" s="97" t="s">
        <v>77</v>
      </c>
      <c r="C43" s="36"/>
      <c r="D43" s="37"/>
      <c r="F43" s="73" t="s">
        <v>50</v>
      </c>
      <c r="G43" s="74" t="s">
        <v>51</v>
      </c>
      <c r="H43" s="74" t="s">
        <v>52</v>
      </c>
      <c r="I43" s="74" t="s">
        <v>53</v>
      </c>
      <c r="J43" s="71" t="s">
        <v>54</v>
      </c>
      <c r="K43" s="71" t="s">
        <v>55</v>
      </c>
      <c r="L43" s="71" t="s">
        <v>56</v>
      </c>
      <c r="M43" s="71" t="s">
        <v>57</v>
      </c>
      <c r="N43" s="32" t="s">
        <v>29</v>
      </c>
      <c r="O43" s="25">
        <v>0.51</v>
      </c>
      <c r="Q43" s="32" t="s">
        <v>60</v>
      </c>
      <c r="R43" s="50">
        <f>H49</f>
        <v>0.01197433333</v>
      </c>
      <c r="S43" s="16">
        <f t="shared" ref="S43:S46" si="13">R43/O42</f>
        <v>0.9467372971</v>
      </c>
      <c r="T43" s="21">
        <f t="shared" ref="T43:T46" si="14">O42-R43</f>
        <v>0.0006736666667</v>
      </c>
      <c r="V43" s="84">
        <f>(ABS(H44-O42)/O42+ABS(H45-O42)/O42+ABS(H46-O42)/O42)</f>
        <v>0.2029569892</v>
      </c>
    </row>
    <row r="44">
      <c r="A44" s="44"/>
      <c r="B44" s="45"/>
      <c r="D44" s="46"/>
      <c r="F44" s="75">
        <v>1.0</v>
      </c>
      <c r="G44" s="76">
        <v>0.45</v>
      </c>
      <c r="H44" s="98">
        <v>0.011823</v>
      </c>
      <c r="I44" s="75">
        <v>382.0</v>
      </c>
      <c r="J44" s="75">
        <v>0.488</v>
      </c>
      <c r="K44" s="75">
        <v>0.174</v>
      </c>
      <c r="L44" s="75">
        <v>0.14</v>
      </c>
      <c r="M44" s="78">
        <f t="shared" ref="M44:M46" si="15">1.55-L44-0.1</f>
        <v>1.31</v>
      </c>
      <c r="N44" s="32" t="s">
        <v>30</v>
      </c>
      <c r="O44" s="25">
        <v>0.16</v>
      </c>
      <c r="Q44" s="32" t="s">
        <v>29</v>
      </c>
      <c r="R44" s="99">
        <f>J49</f>
        <v>0.4613333333</v>
      </c>
      <c r="S44" s="16">
        <f t="shared" si="13"/>
        <v>0.9045751634</v>
      </c>
      <c r="T44" s="100">
        <f t="shared" si="14"/>
        <v>0.04866666667</v>
      </c>
    </row>
    <row r="45">
      <c r="A45" s="44"/>
      <c r="B45" s="45"/>
      <c r="D45" s="46"/>
      <c r="F45" s="75">
        <v>2.0</v>
      </c>
      <c r="G45" s="76">
        <v>0.57</v>
      </c>
      <c r="H45" s="101">
        <v>0.011179</v>
      </c>
      <c r="I45" s="80">
        <v>386.0</v>
      </c>
      <c r="J45" s="75">
        <v>0.417</v>
      </c>
      <c r="K45" s="75">
        <v>0.186</v>
      </c>
      <c r="L45" s="75">
        <v>0.144</v>
      </c>
      <c r="M45" s="78">
        <f t="shared" si="15"/>
        <v>1.306</v>
      </c>
      <c r="N45" s="32" t="s">
        <v>31</v>
      </c>
      <c r="O45" s="25">
        <v>0.155</v>
      </c>
      <c r="Q45" s="32" t="s">
        <v>30</v>
      </c>
      <c r="R45" s="99">
        <f>K49</f>
        <v>0.1826666667</v>
      </c>
      <c r="S45" s="16">
        <f t="shared" si="13"/>
        <v>1.141666667</v>
      </c>
      <c r="T45" s="100">
        <f t="shared" si="14"/>
        <v>-0.02266666667</v>
      </c>
    </row>
    <row r="46">
      <c r="A46" s="44"/>
      <c r="B46" s="45"/>
      <c r="D46" s="46"/>
      <c r="F46" s="75">
        <v>3.0</v>
      </c>
      <c r="G46" s="76">
        <v>0.65</v>
      </c>
      <c r="H46" s="101">
        <v>0.012921</v>
      </c>
      <c r="I46" s="80">
        <v>427.0</v>
      </c>
      <c r="J46" s="75">
        <v>0.479</v>
      </c>
      <c r="K46" s="75">
        <v>0.188</v>
      </c>
      <c r="L46" s="75">
        <v>0.144</v>
      </c>
      <c r="M46" s="78">
        <f t="shared" si="15"/>
        <v>1.306</v>
      </c>
      <c r="N46" s="58" t="s">
        <v>61</v>
      </c>
      <c r="O46" s="87">
        <f>1.55-O45-0.1</f>
        <v>1.295</v>
      </c>
      <c r="Q46" s="32" t="s">
        <v>31</v>
      </c>
      <c r="R46" s="99">
        <f>K49</f>
        <v>0.1826666667</v>
      </c>
      <c r="S46" s="16">
        <f t="shared" si="13"/>
        <v>1.178494624</v>
      </c>
      <c r="T46" s="100">
        <f t="shared" si="14"/>
        <v>-0.02766666667</v>
      </c>
    </row>
    <row r="47">
      <c r="A47" s="44"/>
      <c r="B47" s="45"/>
      <c r="D47" s="46"/>
      <c r="F47" s="75">
        <v>4.0</v>
      </c>
      <c r="G47" s="76"/>
      <c r="H47" s="102"/>
      <c r="I47" s="80"/>
      <c r="J47" s="78"/>
      <c r="K47" s="78"/>
      <c r="L47" s="78"/>
      <c r="M47" s="78"/>
      <c r="Q47" s="32" t="s">
        <v>53</v>
      </c>
      <c r="R47" s="99">
        <f>I49</f>
        <v>398.3333333</v>
      </c>
    </row>
    <row r="48">
      <c r="A48" s="44"/>
      <c r="B48" s="45"/>
      <c r="D48" s="46"/>
      <c r="F48" s="75">
        <v>5.0</v>
      </c>
      <c r="G48" s="76"/>
      <c r="H48" s="80"/>
      <c r="I48" s="80"/>
      <c r="J48" s="78"/>
      <c r="K48" s="78"/>
      <c r="L48" s="78"/>
      <c r="M48" s="78"/>
      <c r="Q48" s="58" t="s">
        <v>61</v>
      </c>
      <c r="R48" s="103">
        <f>M49</f>
        <v>1.307333333</v>
      </c>
      <c r="S48" s="16">
        <f>R48/O46</f>
        <v>1.00952381</v>
      </c>
      <c r="T48" s="24">
        <f>O46-R48</f>
        <v>-0.01233333333</v>
      </c>
    </row>
    <row r="49">
      <c r="A49" s="44"/>
      <c r="B49" s="45"/>
      <c r="D49" s="46"/>
      <c r="F49" s="73" t="s">
        <v>62</v>
      </c>
      <c r="G49" s="104">
        <f>AVERAGEA(G44:G47)</f>
        <v>0.5566666667</v>
      </c>
      <c r="H49" s="86">
        <f t="shared" ref="H49:M49" si="16">AVERAGEA(H44:H46)</f>
        <v>0.01197433333</v>
      </c>
      <c r="I49" s="86">
        <f t="shared" si="16"/>
        <v>398.3333333</v>
      </c>
      <c r="J49" s="86">
        <f t="shared" si="16"/>
        <v>0.4613333333</v>
      </c>
      <c r="K49" s="86">
        <f t="shared" si="16"/>
        <v>0.1826666667</v>
      </c>
      <c r="L49" s="86">
        <f t="shared" si="16"/>
        <v>0.1426666667</v>
      </c>
      <c r="M49" s="86">
        <f t="shared" si="16"/>
        <v>1.307333333</v>
      </c>
    </row>
    <row r="50">
      <c r="A50" s="65"/>
      <c r="B50" s="66"/>
      <c r="C50" s="67"/>
      <c r="D50" s="68"/>
      <c r="F50" s="73" t="s">
        <v>63</v>
      </c>
      <c r="G50" s="78"/>
      <c r="H50" s="78">
        <f>H49/O42</f>
        <v>0.9467372971</v>
      </c>
      <c r="I50" s="78"/>
      <c r="J50" s="78">
        <f>J49/O43</f>
        <v>0.9045751634</v>
      </c>
      <c r="K50" s="78">
        <f>K49/O44</f>
        <v>1.141666667</v>
      </c>
      <c r="L50" s="78">
        <f>L49/O45</f>
        <v>0.9204301075</v>
      </c>
      <c r="M50" s="78">
        <f>M49/O46</f>
        <v>1.00952381</v>
      </c>
    </row>
    <row r="51">
      <c r="F51" s="88" t="s">
        <v>64</v>
      </c>
      <c r="G51" s="78"/>
      <c r="H51" s="78">
        <f>SUM((H44-O42)^2,(H45-O42)^2,(H46-O42)^2)</f>
        <v>0.000002913115</v>
      </c>
      <c r="I51" s="78"/>
      <c r="J51" s="78">
        <f>SUM((J44-$O43)^2,(J45-$O43)^2,(J46-$O43)^2)</f>
        <v>0.010094</v>
      </c>
      <c r="K51" s="78">
        <f>SUM((K44-$O44)^2,(K45-$O44)^2,(K46-$O44)^2)</f>
        <v>0.001656</v>
      </c>
      <c r="L51" s="78">
        <f>SUM((L44-$O45)^2,(L45-$O45)^2,(L46-$O45)^2)</f>
        <v>0.000467</v>
      </c>
      <c r="M51" s="78">
        <f>SUM((M44-$O46)^2,(M45-$O46)^2,(M46-$O46)^2)</f>
        <v>0.000467</v>
      </c>
      <c r="N51" s="59"/>
      <c r="O51" s="25" t="s">
        <v>68</v>
      </c>
      <c r="Q51" s="25" t="s">
        <v>43</v>
      </c>
      <c r="R51" s="25" t="s">
        <v>62</v>
      </c>
      <c r="S51" s="12" t="s">
        <v>45</v>
      </c>
      <c r="T51" s="12" t="s">
        <v>46</v>
      </c>
      <c r="V51" s="33" t="s">
        <v>47</v>
      </c>
    </row>
    <row r="52">
      <c r="N52" s="59"/>
      <c r="O52" s="25"/>
      <c r="Q52" s="25"/>
      <c r="R52" s="25"/>
      <c r="S52" s="12"/>
      <c r="T52" s="12"/>
      <c r="V52" s="42"/>
    </row>
    <row r="53">
      <c r="A53" s="25" t="s">
        <v>39</v>
      </c>
      <c r="B53" s="26" t="s">
        <v>40</v>
      </c>
      <c r="C53" s="27"/>
      <c r="D53" s="28"/>
      <c r="F53" s="105"/>
      <c r="G53" s="106" t="s">
        <v>78</v>
      </c>
      <c r="J53" s="105"/>
      <c r="K53" s="105"/>
      <c r="L53" s="105"/>
      <c r="M53" s="105"/>
      <c r="N53" s="32" t="s">
        <v>79</v>
      </c>
      <c r="O53" s="59">
        <f>0.33*0.29*0.36</f>
        <v>0.034452</v>
      </c>
      <c r="Q53" s="32" t="s">
        <v>59</v>
      </c>
      <c r="R53" s="41">
        <f>G60</f>
        <v>0.2833333333</v>
      </c>
      <c r="V53" s="52">
        <f>(ABS(H55-O53)/O53+ABS(H56-O53)/O53+ABS(H57-O53)/O53)</f>
        <v>0.05323348427</v>
      </c>
    </row>
    <row r="54">
      <c r="A54" s="34" t="s">
        <v>80</v>
      </c>
      <c r="B54" s="72" t="s">
        <v>81</v>
      </c>
      <c r="C54" s="36"/>
      <c r="D54" s="37"/>
      <c r="F54" s="107" t="s">
        <v>50</v>
      </c>
      <c r="G54" s="108" t="s">
        <v>51</v>
      </c>
      <c r="H54" s="108" t="s">
        <v>52</v>
      </c>
      <c r="I54" s="108" t="s">
        <v>53</v>
      </c>
      <c r="J54" s="106" t="s">
        <v>54</v>
      </c>
      <c r="K54" s="106" t="s">
        <v>55</v>
      </c>
      <c r="L54" s="106" t="s">
        <v>56</v>
      </c>
      <c r="M54" s="106" t="s">
        <v>57</v>
      </c>
      <c r="N54" s="32" t="s">
        <v>29</v>
      </c>
      <c r="O54" s="25">
        <v>0.33</v>
      </c>
      <c r="Q54" s="32" t="s">
        <v>60</v>
      </c>
      <c r="R54" s="93">
        <f>H60</f>
        <v>0.03478066667</v>
      </c>
      <c r="S54" s="16">
        <f t="shared" ref="S54:S57" si="17">R54/O53</f>
        <v>1.009539843</v>
      </c>
      <c r="T54" s="51">
        <f t="shared" ref="T54:T57" si="18">O53-R54</f>
        <v>-0.0003286666667</v>
      </c>
      <c r="U54" s="56">
        <f>abs(O53-H60)</f>
        <v>0.0003286666667</v>
      </c>
    </row>
    <row r="55">
      <c r="A55" s="44"/>
      <c r="B55" s="45"/>
      <c r="D55" s="46"/>
      <c r="F55" s="109">
        <v>1.0</v>
      </c>
      <c r="G55" s="110">
        <v>0.26</v>
      </c>
      <c r="H55" s="111">
        <v>0.034193</v>
      </c>
      <c r="I55" s="109">
        <v>418.0</v>
      </c>
      <c r="J55" s="112">
        <v>0.341</v>
      </c>
      <c r="K55" s="112">
        <v>0.313</v>
      </c>
      <c r="L55" s="112">
        <v>0.32</v>
      </c>
      <c r="M55" s="113">
        <f t="shared" ref="M55:M57" si="19">1.55-L55-0.1</f>
        <v>1.13</v>
      </c>
      <c r="N55" s="32" t="s">
        <v>30</v>
      </c>
      <c r="O55" s="25">
        <v>0.29</v>
      </c>
      <c r="Q55" s="32" t="s">
        <v>29</v>
      </c>
      <c r="R55" s="41">
        <f>J60</f>
        <v>0.3406666667</v>
      </c>
      <c r="S55" s="16">
        <f t="shared" si="17"/>
        <v>1.032323232</v>
      </c>
      <c r="T55" s="24">
        <f t="shared" si="18"/>
        <v>-0.01066666667</v>
      </c>
    </row>
    <row r="56">
      <c r="A56" s="44"/>
      <c r="B56" s="45"/>
      <c r="D56" s="46"/>
      <c r="F56" s="109">
        <v>2.0</v>
      </c>
      <c r="G56" s="110">
        <v>0.3</v>
      </c>
      <c r="H56" s="114">
        <v>0.034287</v>
      </c>
      <c r="I56" s="115">
        <v>394.0</v>
      </c>
      <c r="J56" s="116">
        <v>0.33</v>
      </c>
      <c r="K56" s="116">
        <v>0.315</v>
      </c>
      <c r="L56" s="116">
        <v>0.331</v>
      </c>
      <c r="M56" s="117">
        <f t="shared" si="19"/>
        <v>1.119</v>
      </c>
      <c r="N56" s="32" t="s">
        <v>31</v>
      </c>
      <c r="O56" s="25">
        <v>0.36</v>
      </c>
      <c r="Q56" s="32" t="s">
        <v>30</v>
      </c>
      <c r="R56" s="41">
        <f>K60</f>
        <v>0.312</v>
      </c>
      <c r="S56" s="16">
        <f t="shared" si="17"/>
        <v>1.075862069</v>
      </c>
      <c r="T56" s="24">
        <f t="shared" si="18"/>
        <v>-0.022</v>
      </c>
    </row>
    <row r="57">
      <c r="A57" s="44"/>
      <c r="B57" s="45"/>
      <c r="D57" s="46"/>
      <c r="F57" s="109">
        <v>3.0</v>
      </c>
      <c r="G57" s="110">
        <v>0.29</v>
      </c>
      <c r="H57" s="114">
        <v>0.035862</v>
      </c>
      <c r="I57" s="115">
        <v>407.0</v>
      </c>
      <c r="J57" s="112">
        <v>0.351</v>
      </c>
      <c r="K57" s="112">
        <v>0.308</v>
      </c>
      <c r="L57" s="112">
        <v>0.332</v>
      </c>
      <c r="M57" s="113">
        <f t="shared" si="19"/>
        <v>1.118</v>
      </c>
      <c r="N57" s="58" t="s">
        <v>61</v>
      </c>
      <c r="O57" s="87">
        <f>1.55-O56-0.1</f>
        <v>1.09</v>
      </c>
      <c r="Q57" s="32" t="s">
        <v>31</v>
      </c>
      <c r="R57" s="41">
        <f>L60</f>
        <v>0.3276666667</v>
      </c>
      <c r="S57" s="16">
        <f t="shared" si="17"/>
        <v>0.9101851852</v>
      </c>
      <c r="T57" s="24">
        <f t="shared" si="18"/>
        <v>0.03233333333</v>
      </c>
    </row>
    <row r="58">
      <c r="A58" s="44"/>
      <c r="B58" s="45"/>
      <c r="D58" s="46"/>
      <c r="F58" s="109">
        <v>4.0</v>
      </c>
      <c r="G58" s="110"/>
      <c r="H58" s="118"/>
      <c r="I58" s="115"/>
      <c r="J58" s="119"/>
      <c r="K58" s="119"/>
      <c r="L58" s="119"/>
      <c r="M58" s="119"/>
      <c r="Q58" s="32" t="s">
        <v>53</v>
      </c>
      <c r="R58" s="41">
        <f>I60</f>
        <v>406.3333333</v>
      </c>
    </row>
    <row r="59">
      <c r="A59" s="44"/>
      <c r="B59" s="45"/>
      <c r="D59" s="46"/>
      <c r="F59" s="106">
        <v>5.0</v>
      </c>
      <c r="G59" s="110"/>
      <c r="H59" s="115"/>
      <c r="I59" s="115"/>
      <c r="J59" s="119"/>
      <c r="K59" s="119"/>
      <c r="L59" s="119"/>
      <c r="M59" s="119"/>
      <c r="Q59" s="58" t="s">
        <v>61</v>
      </c>
      <c r="R59" s="103">
        <f>M60</f>
        <v>1.122333333</v>
      </c>
      <c r="S59" s="16">
        <f>R59/O57</f>
        <v>1.029663609</v>
      </c>
      <c r="T59" s="24">
        <f>O57-R59</f>
        <v>-0.03233333333</v>
      </c>
    </row>
    <row r="60">
      <c r="A60" s="44"/>
      <c r="B60" s="45"/>
      <c r="D60" s="46"/>
      <c r="F60" s="107" t="s">
        <v>62</v>
      </c>
      <c r="G60" s="120">
        <f t="shared" ref="G60:H60" si="20">AVERAGEA(G55:G58)</f>
        <v>0.2833333333</v>
      </c>
      <c r="H60" s="114">
        <f t="shared" si="20"/>
        <v>0.03478066667</v>
      </c>
      <c r="I60" s="120">
        <f t="shared" ref="I60:M60" si="21">AVERAGEA(I55:I57)</f>
        <v>406.3333333</v>
      </c>
      <c r="J60" s="120">
        <f t="shared" si="21"/>
        <v>0.3406666667</v>
      </c>
      <c r="K60" s="120">
        <f t="shared" si="21"/>
        <v>0.312</v>
      </c>
      <c r="L60" s="120">
        <f t="shared" si="21"/>
        <v>0.3276666667</v>
      </c>
      <c r="M60" s="120">
        <f t="shared" si="21"/>
        <v>1.122333333</v>
      </c>
    </row>
    <row r="61">
      <c r="A61" s="65"/>
      <c r="B61" s="66"/>
      <c r="C61" s="67"/>
      <c r="D61" s="68"/>
      <c r="F61" s="107" t="s">
        <v>63</v>
      </c>
      <c r="G61" s="119"/>
      <c r="H61" s="119">
        <f>H60/O53</f>
        <v>1.009539843</v>
      </c>
      <c r="I61" s="119"/>
      <c r="J61" s="119">
        <f>J60/O54</f>
        <v>1.032323232</v>
      </c>
      <c r="K61" s="119">
        <f>K60/O55</f>
        <v>1.075862069</v>
      </c>
      <c r="L61" s="119">
        <f>L60/O56</f>
        <v>0.9101851852</v>
      </c>
      <c r="M61" s="119">
        <f>M60/O57</f>
        <v>1.029663609</v>
      </c>
      <c r="N61" s="121" t="s">
        <v>82</v>
      </c>
      <c r="O61" s="27"/>
      <c r="P61" s="27"/>
      <c r="Q61" s="27"/>
      <c r="R61" s="27"/>
      <c r="S61" s="27"/>
      <c r="T61" s="28"/>
      <c r="V61" s="121" t="s">
        <v>83</v>
      </c>
      <c r="W61" s="27"/>
      <c r="X61" s="27"/>
      <c r="Y61" s="27"/>
      <c r="Z61" s="27"/>
      <c r="AA61" s="27"/>
      <c r="AB61" s="28"/>
      <c r="AG61" s="78"/>
      <c r="AH61" s="71" t="s">
        <v>84</v>
      </c>
      <c r="AK61" s="79" t="s">
        <v>85</v>
      </c>
      <c r="AL61" s="122">
        <f>(ABS(AI63-O63)/O63+ABS(AI64-O63)/O63+ABS(AI65-O63)/O63)</f>
        <v>1.478144303</v>
      </c>
      <c r="AM61" s="12"/>
      <c r="AN61" s="12"/>
      <c r="AO61" s="12"/>
      <c r="AP61" s="78"/>
      <c r="AQ61" s="71" t="s">
        <v>86</v>
      </c>
      <c r="AT61" s="79" t="s">
        <v>85</v>
      </c>
      <c r="AU61" s="122">
        <f>(ABS(AR63-O63)/O63+ABS(AR64-O63)/O63+ABS(AR65-O63)/O63)</f>
        <v>0.04461252832</v>
      </c>
      <c r="AV61" s="12"/>
      <c r="AW61" s="12"/>
    </row>
    <row r="62">
      <c r="F62" s="123" t="s">
        <v>64</v>
      </c>
      <c r="G62" s="119"/>
      <c r="H62" s="119">
        <f>SUM((H55-O53)^2,(H56-O53)^2,(H57-O53)^2)</f>
        <v>0.000002082406</v>
      </c>
      <c r="I62" s="119"/>
      <c r="J62" s="119">
        <f>SUM((J55-$O54)^2,(J56-$O54)^2,(J57-$O54)^2)</f>
        <v>0.000562</v>
      </c>
      <c r="K62" s="119">
        <f>SUM((K55-$O55)^2,(K56-$O55)^2,(K57-$O55)^2)</f>
        <v>0.001478</v>
      </c>
      <c r="L62" s="119">
        <f>SUM((L55-$O56)^2,(L56-$O56)^2,(L57-$O56)^2)</f>
        <v>0.003225</v>
      </c>
      <c r="M62" s="119">
        <f>SUM((M55-$O57)^2,(M56-$O57)^2,(M57-$O57)^2)</f>
        <v>0.003225</v>
      </c>
      <c r="N62" s="31"/>
      <c r="O62" s="32" t="s">
        <v>68</v>
      </c>
      <c r="Q62" s="32" t="s">
        <v>43</v>
      </c>
      <c r="R62" s="32" t="s">
        <v>62</v>
      </c>
      <c r="S62" s="12" t="s">
        <v>45</v>
      </c>
      <c r="T62" s="12" t="s">
        <v>46</v>
      </c>
      <c r="V62" s="32" t="s">
        <v>87</v>
      </c>
      <c r="W62" s="32" t="s">
        <v>68</v>
      </c>
      <c r="Y62" s="32" t="s">
        <v>43</v>
      </c>
      <c r="Z62" s="59"/>
      <c r="AA62" s="12" t="s">
        <v>45</v>
      </c>
      <c r="AC62" s="12" t="s">
        <v>46</v>
      </c>
      <c r="AG62" s="73" t="s">
        <v>50</v>
      </c>
      <c r="AH62" s="74" t="s">
        <v>51</v>
      </c>
      <c r="AI62" s="74" t="s">
        <v>52</v>
      </c>
      <c r="AJ62" s="74" t="s">
        <v>53</v>
      </c>
      <c r="AK62" s="71" t="s">
        <v>54</v>
      </c>
      <c r="AL62" s="71" t="s">
        <v>55</v>
      </c>
      <c r="AM62" s="71" t="s">
        <v>56</v>
      </c>
      <c r="AN62" s="71" t="s">
        <v>88</v>
      </c>
      <c r="AO62" s="43"/>
      <c r="AP62" s="73" t="s">
        <v>50</v>
      </c>
      <c r="AQ62" s="74" t="s">
        <v>51</v>
      </c>
      <c r="AR62" s="74" t="s">
        <v>52</v>
      </c>
      <c r="AS62" s="74" t="s">
        <v>53</v>
      </c>
      <c r="AT62" s="71" t="s">
        <v>54</v>
      </c>
      <c r="AU62" s="71" t="s">
        <v>55</v>
      </c>
      <c r="AV62" s="71" t="s">
        <v>56</v>
      </c>
      <c r="AW62" s="71" t="s">
        <v>88</v>
      </c>
    </row>
    <row r="63">
      <c r="A63" s="25" t="s">
        <v>39</v>
      </c>
      <c r="B63" s="26" t="s">
        <v>89</v>
      </c>
      <c r="C63" s="27"/>
      <c r="D63" s="28"/>
      <c r="F63" s="25" t="s">
        <v>39</v>
      </c>
      <c r="G63" s="26" t="s">
        <v>90</v>
      </c>
      <c r="H63" s="27"/>
      <c r="I63" s="28"/>
      <c r="N63" s="32" t="s">
        <v>91</v>
      </c>
      <c r="O63" s="59">
        <f>0.495*0.29*0.545</f>
        <v>0.07823475</v>
      </c>
      <c r="Q63" s="32" t="s">
        <v>59</v>
      </c>
      <c r="R63" s="41">
        <f>AH68</f>
        <v>0.3266666667</v>
      </c>
      <c r="V63" s="32" t="s">
        <v>92</v>
      </c>
      <c r="W63" s="59">
        <v>0.044224999999999993</v>
      </c>
      <c r="Y63" s="32" t="s">
        <v>59</v>
      </c>
      <c r="Z63" s="41">
        <f>AQ68</f>
        <v>0.7333333333</v>
      </c>
      <c r="AG63" s="75">
        <v>1.0</v>
      </c>
      <c r="AH63" s="76">
        <v>0.48</v>
      </c>
      <c r="AI63" s="98">
        <v>0.039513</v>
      </c>
      <c r="AJ63" s="75">
        <v>431.0</v>
      </c>
      <c r="AK63" s="124">
        <v>0.288</v>
      </c>
      <c r="AL63" s="124">
        <v>0.255</v>
      </c>
      <c r="AM63" s="124">
        <v>0.538</v>
      </c>
      <c r="AN63" s="124">
        <f t="shared" ref="AN63:AN65" si="22">1.55-AM63-0.1</f>
        <v>0.912</v>
      </c>
      <c r="AO63" s="12"/>
      <c r="AP63" s="75">
        <v>1.0</v>
      </c>
      <c r="AQ63" s="76">
        <v>0.64</v>
      </c>
      <c r="AR63" s="98">
        <v>0.078533</v>
      </c>
      <c r="AS63" s="75">
        <v>911.0</v>
      </c>
      <c r="AT63" s="124">
        <v>0.553</v>
      </c>
      <c r="AU63" s="124">
        <v>0.511</v>
      </c>
      <c r="AV63" s="124">
        <v>0.278</v>
      </c>
      <c r="AW63" s="124">
        <f t="shared" ref="AW63:AW65" si="23">1.55-AV63-0.1</f>
        <v>1.172</v>
      </c>
    </row>
    <row r="64">
      <c r="A64" s="34" t="s">
        <v>93</v>
      </c>
      <c r="B64" s="97" t="s">
        <v>94</v>
      </c>
      <c r="C64" s="36"/>
      <c r="D64" s="37"/>
      <c r="E64" s="43"/>
      <c r="F64" s="34" t="s">
        <v>93</v>
      </c>
      <c r="G64" s="97" t="s">
        <v>95</v>
      </c>
      <c r="H64" s="36"/>
      <c r="I64" s="37"/>
      <c r="N64" s="32" t="s">
        <v>29</v>
      </c>
      <c r="O64" s="25">
        <v>0.495</v>
      </c>
      <c r="Q64" s="32" t="s">
        <v>60</v>
      </c>
      <c r="R64" s="50">
        <f>AI68</f>
        <v>0.03968733333</v>
      </c>
      <c r="S64" s="16">
        <f t="shared" ref="S64:S67" si="24">R64/O63</f>
        <v>0.5072852324</v>
      </c>
      <c r="T64" s="21">
        <f t="shared" ref="T64:T67" si="25">O63-R64</f>
        <v>0.03854741667</v>
      </c>
      <c r="V64" s="32" t="s">
        <v>96</v>
      </c>
      <c r="W64" s="59">
        <v>0.014393749999999999</v>
      </c>
      <c r="Y64" s="32" t="s">
        <v>60</v>
      </c>
      <c r="Z64" s="50">
        <f>AR68</f>
        <v>0.07842433333</v>
      </c>
      <c r="AA64" s="16">
        <f>Z64/O63</f>
        <v>1.002423262</v>
      </c>
      <c r="AC64" s="21">
        <f t="shared" ref="AC64:AC67" si="26">Z64-W65</f>
        <v>0.01980558333</v>
      </c>
      <c r="AG64" s="75">
        <v>2.0</v>
      </c>
      <c r="AH64" s="76">
        <v>0.19</v>
      </c>
      <c r="AI64" s="101">
        <v>0.038272</v>
      </c>
      <c r="AJ64" s="80">
        <v>275.0</v>
      </c>
      <c r="AK64" s="125">
        <v>0.275</v>
      </c>
      <c r="AL64" s="125">
        <v>0.258</v>
      </c>
      <c r="AM64" s="125">
        <v>0.539</v>
      </c>
      <c r="AN64" s="124">
        <f t="shared" si="22"/>
        <v>0.911</v>
      </c>
      <c r="AO64" s="43"/>
      <c r="AP64" s="75">
        <v>2.0</v>
      </c>
      <c r="AQ64" s="76">
        <v>0.74</v>
      </c>
      <c r="AR64" s="101">
        <v>0.079966</v>
      </c>
      <c r="AS64" s="80">
        <v>948.0</v>
      </c>
      <c r="AT64" s="125">
        <v>0.554</v>
      </c>
      <c r="AU64" s="125">
        <v>0.524</v>
      </c>
      <c r="AV64" s="125">
        <v>0.276</v>
      </c>
      <c r="AW64" s="124">
        <f t="shared" si="23"/>
        <v>1.174</v>
      </c>
    </row>
    <row r="65">
      <c r="A65" s="44"/>
      <c r="B65" s="45"/>
      <c r="D65" s="46"/>
      <c r="E65" s="43"/>
      <c r="F65" s="44"/>
      <c r="G65" s="45"/>
      <c r="I65" s="46"/>
      <c r="N65" s="32" t="s">
        <v>30</v>
      </c>
      <c r="O65" s="25">
        <v>0.29</v>
      </c>
      <c r="Q65" s="32" t="s">
        <v>29</v>
      </c>
      <c r="R65" s="41">
        <f>AK68</f>
        <v>0.2836666667</v>
      </c>
      <c r="S65" s="16">
        <f t="shared" si="24"/>
        <v>0.5730639731</v>
      </c>
      <c r="T65" s="24">
        <f t="shared" si="25"/>
        <v>0.2113333333</v>
      </c>
      <c r="V65" s="32" t="s">
        <v>97</v>
      </c>
      <c r="W65" s="59">
        <v>0.05861874999999999</v>
      </c>
      <c r="Y65" s="32" t="s">
        <v>29</v>
      </c>
      <c r="Z65" s="41">
        <f>AT68</f>
        <v>0.545</v>
      </c>
      <c r="AA65" s="16">
        <f t="shared" ref="AA65:AA67" si="27">Z65/W66</f>
        <v>1</v>
      </c>
      <c r="AB65" s="16"/>
      <c r="AC65" s="24">
        <f t="shared" si="26"/>
        <v>0</v>
      </c>
      <c r="AG65" s="75">
        <v>3.0</v>
      </c>
      <c r="AH65" s="76">
        <v>0.31</v>
      </c>
      <c r="AI65" s="101">
        <v>0.041277</v>
      </c>
      <c r="AJ65" s="80">
        <v>345.0</v>
      </c>
      <c r="AK65" s="125">
        <v>0.288</v>
      </c>
      <c r="AL65" s="125">
        <v>0.267</v>
      </c>
      <c r="AM65" s="125">
        <v>0.537</v>
      </c>
      <c r="AN65" s="124">
        <f t="shared" si="22"/>
        <v>0.913</v>
      </c>
      <c r="AO65" s="43"/>
      <c r="AP65" s="75">
        <v>3.0</v>
      </c>
      <c r="AQ65" s="76">
        <v>0.82</v>
      </c>
      <c r="AR65" s="101">
        <v>0.076774</v>
      </c>
      <c r="AS65" s="80">
        <v>974.0</v>
      </c>
      <c r="AT65" s="125">
        <v>0.528</v>
      </c>
      <c r="AU65" s="125">
        <v>0.522</v>
      </c>
      <c r="AV65" s="125">
        <v>0.278</v>
      </c>
      <c r="AW65" s="124">
        <f t="shared" si="23"/>
        <v>1.172</v>
      </c>
    </row>
    <row r="66">
      <c r="A66" s="44"/>
      <c r="B66" s="45"/>
      <c r="D66" s="46"/>
      <c r="E66" s="43"/>
      <c r="F66" s="44"/>
      <c r="G66" s="45"/>
      <c r="I66" s="46"/>
      <c r="N66" s="32" t="s">
        <v>31</v>
      </c>
      <c r="O66" s="25">
        <v>0.545</v>
      </c>
      <c r="Q66" s="32" t="s">
        <v>30</v>
      </c>
      <c r="R66" s="41">
        <f>AL68</f>
        <v>0.26</v>
      </c>
      <c r="S66" s="16">
        <f t="shared" si="24"/>
        <v>0.8965517241</v>
      </c>
      <c r="T66" s="24">
        <f t="shared" si="25"/>
        <v>0.03</v>
      </c>
      <c r="V66" s="25" t="s">
        <v>98</v>
      </c>
      <c r="W66" s="25">
        <v>0.545</v>
      </c>
      <c r="Y66" s="32" t="s">
        <v>30</v>
      </c>
      <c r="Z66" s="41">
        <f>AU68</f>
        <v>0.519</v>
      </c>
      <c r="AA66" s="16">
        <f t="shared" si="27"/>
        <v>1.048484848</v>
      </c>
      <c r="AB66" s="16"/>
      <c r="AC66" s="24">
        <f t="shared" si="26"/>
        <v>0.024</v>
      </c>
      <c r="AG66" s="75">
        <v>4.0</v>
      </c>
      <c r="AH66" s="76"/>
      <c r="AI66" s="102"/>
      <c r="AJ66" s="80"/>
      <c r="AK66" s="80"/>
      <c r="AL66" s="80"/>
      <c r="AM66" s="80"/>
      <c r="AN66" s="80"/>
      <c r="AO66" s="43"/>
      <c r="AP66" s="75">
        <v>4.0</v>
      </c>
      <c r="AQ66" s="76"/>
      <c r="AR66" s="102"/>
      <c r="AS66" s="80"/>
      <c r="AT66" s="80"/>
      <c r="AU66" s="80"/>
      <c r="AV66" s="80"/>
      <c r="AW66" s="80"/>
    </row>
    <row r="67">
      <c r="A67" s="44"/>
      <c r="B67" s="45"/>
      <c r="D67" s="46"/>
      <c r="E67" s="43"/>
      <c r="F67" s="44"/>
      <c r="G67" s="45"/>
      <c r="I67" s="46"/>
      <c r="J67" s="43"/>
      <c r="N67" s="58" t="s">
        <v>61</v>
      </c>
      <c r="O67" s="103">
        <f>1.55-O66-0.1</f>
        <v>0.905</v>
      </c>
      <c r="Q67" s="32" t="s">
        <v>31</v>
      </c>
      <c r="R67" s="41">
        <f>AM68</f>
        <v>0.538</v>
      </c>
      <c r="S67" s="16">
        <f t="shared" si="24"/>
        <v>0.9871559633</v>
      </c>
      <c r="T67" s="24">
        <f t="shared" si="25"/>
        <v>0.007</v>
      </c>
      <c r="V67" s="25" t="s">
        <v>99</v>
      </c>
      <c r="W67" s="25">
        <v>0.495</v>
      </c>
      <c r="Y67" s="32" t="s">
        <v>31</v>
      </c>
      <c r="Z67" s="41">
        <f>AV68</f>
        <v>0.2773333333</v>
      </c>
      <c r="AA67" s="16">
        <f t="shared" si="27"/>
        <v>0.9563218391</v>
      </c>
      <c r="AB67" s="16"/>
      <c r="AC67" s="24">
        <f t="shared" si="26"/>
        <v>-0.01266666667</v>
      </c>
      <c r="AG67" s="75">
        <v>5.0</v>
      </c>
      <c r="AH67" s="76"/>
      <c r="AI67" s="80"/>
      <c r="AJ67" s="80"/>
      <c r="AK67" s="80"/>
      <c r="AL67" s="80"/>
      <c r="AM67" s="80"/>
      <c r="AN67" s="80"/>
      <c r="AO67" s="43"/>
      <c r="AP67" s="75">
        <v>5.0</v>
      </c>
      <c r="AQ67" s="76"/>
      <c r="AR67" s="80"/>
      <c r="AS67" s="80"/>
      <c r="AT67" s="80"/>
      <c r="AU67" s="80"/>
      <c r="AV67" s="80"/>
      <c r="AW67" s="80"/>
    </row>
    <row r="68">
      <c r="A68" s="44"/>
      <c r="B68" s="45"/>
      <c r="D68" s="46"/>
      <c r="E68" s="43"/>
      <c r="F68" s="44"/>
      <c r="G68" s="45"/>
      <c r="I68" s="46"/>
      <c r="J68" s="43"/>
      <c r="Q68" s="32" t="s">
        <v>53</v>
      </c>
      <c r="R68" s="41">
        <f>AJ68</f>
        <v>350.3333333</v>
      </c>
      <c r="V68" s="25" t="s">
        <v>100</v>
      </c>
      <c r="W68" s="25">
        <v>0.29</v>
      </c>
      <c r="Y68" s="32" t="s">
        <v>53</v>
      </c>
      <c r="Z68" s="41">
        <f>AS68</f>
        <v>944.3333333</v>
      </c>
      <c r="AA68" s="16"/>
      <c r="AB68" s="16"/>
      <c r="AG68" s="73" t="s">
        <v>62</v>
      </c>
      <c r="AH68" s="85">
        <f>AVERAGEA(AH63:AH66)</f>
        <v>0.3266666667</v>
      </c>
      <c r="AI68" s="86">
        <f t="shared" ref="AI68:AN68" si="28">AVERAGEA(AI63:AI65)</f>
        <v>0.03968733333</v>
      </c>
      <c r="AJ68" s="85">
        <f t="shared" si="28"/>
        <v>350.3333333</v>
      </c>
      <c r="AK68" s="85">
        <f t="shared" si="28"/>
        <v>0.2836666667</v>
      </c>
      <c r="AL68" s="85">
        <f t="shared" si="28"/>
        <v>0.26</v>
      </c>
      <c r="AM68" s="85">
        <f t="shared" si="28"/>
        <v>0.538</v>
      </c>
      <c r="AN68" s="85">
        <f t="shared" si="28"/>
        <v>0.912</v>
      </c>
      <c r="AO68" s="64"/>
      <c r="AP68" s="73" t="s">
        <v>62</v>
      </c>
      <c r="AQ68" s="85">
        <f t="shared" ref="AQ68:AR68" si="29">AVERAGEA(AQ63:AQ66)</f>
        <v>0.7333333333</v>
      </c>
      <c r="AR68" s="86">
        <f t="shared" si="29"/>
        <v>0.07842433333</v>
      </c>
      <c r="AS68" s="85">
        <f t="shared" ref="AS68:AW68" si="30">AVERAGEA(AS63:AS65)</f>
        <v>944.3333333</v>
      </c>
      <c r="AT68" s="85">
        <f t="shared" si="30"/>
        <v>0.545</v>
      </c>
      <c r="AU68" s="85">
        <f t="shared" si="30"/>
        <v>0.519</v>
      </c>
      <c r="AV68" s="85">
        <f t="shared" si="30"/>
        <v>0.2773333333</v>
      </c>
      <c r="AW68" s="85">
        <f t="shared" si="30"/>
        <v>1.172666667</v>
      </c>
    </row>
    <row r="69">
      <c r="A69" s="44"/>
      <c r="B69" s="45"/>
      <c r="D69" s="46"/>
      <c r="E69" s="43"/>
      <c r="F69" s="44"/>
      <c r="G69" s="45"/>
      <c r="I69" s="46"/>
      <c r="J69" s="43"/>
      <c r="Q69" s="58" t="s">
        <v>61</v>
      </c>
      <c r="R69" s="103">
        <f>AN68</f>
        <v>0.912</v>
      </c>
      <c r="S69" s="16">
        <f>R69/O67</f>
        <v>1.007734807</v>
      </c>
      <c r="T69" s="24">
        <f>O67-R69</f>
        <v>-0.007</v>
      </c>
      <c r="V69" s="58" t="s">
        <v>61</v>
      </c>
      <c r="W69" s="103">
        <f>1.55-W68-0.1</f>
        <v>1.16</v>
      </c>
      <c r="Y69" s="58" t="s">
        <v>61</v>
      </c>
      <c r="Z69" s="103">
        <f>AW68</f>
        <v>1.172666667</v>
      </c>
      <c r="AA69" s="16">
        <f>Z69/W69</f>
        <v>1.01091954</v>
      </c>
      <c r="AC69" s="24">
        <f>W69-Z69</f>
        <v>-0.01266666667</v>
      </c>
      <c r="AG69" s="70"/>
      <c r="AH69" s="78"/>
      <c r="AI69" s="126">
        <f>AI68/O63</f>
        <v>0.5072852324</v>
      </c>
      <c r="AJ69" s="78"/>
      <c r="AK69" s="78"/>
      <c r="AL69" s="78"/>
      <c r="AM69" s="78"/>
      <c r="AN69" s="78"/>
      <c r="AP69" s="88" t="s">
        <v>63</v>
      </c>
      <c r="AQ69" s="78"/>
      <c r="AR69" s="78">
        <f>AR68/O63</f>
        <v>1.002423262</v>
      </c>
      <c r="AS69" s="78"/>
      <c r="AT69" s="78"/>
      <c r="AU69" s="78"/>
      <c r="AV69" s="78"/>
      <c r="AW69" s="78"/>
    </row>
    <row r="70">
      <c r="A70" s="44"/>
      <c r="B70" s="45"/>
      <c r="D70" s="46"/>
      <c r="E70" s="43"/>
      <c r="F70" s="44"/>
      <c r="G70" s="45"/>
      <c r="I70" s="46"/>
      <c r="J70" s="43"/>
      <c r="Z70" s="12" t="s">
        <v>93</v>
      </c>
      <c r="AA70" s="12" t="s">
        <v>101</v>
      </c>
      <c r="AB70" s="12" t="s">
        <v>102</v>
      </c>
      <c r="AG70" s="88" t="s">
        <v>63</v>
      </c>
      <c r="AH70" s="78"/>
      <c r="AI70" s="78">
        <f>AI68/W65</f>
        <v>0.6770416178</v>
      </c>
      <c r="AJ70" s="78"/>
      <c r="AK70" s="78">
        <f>AK68/O64</f>
        <v>0.5730639731</v>
      </c>
      <c r="AL70" s="78">
        <f>AL68/O65</f>
        <v>0.8965517241</v>
      </c>
      <c r="AM70" s="78">
        <f>AM68/O66</f>
        <v>0.9871559633</v>
      </c>
      <c r="AN70" s="78">
        <f>AN68/O67</f>
        <v>1.007734807</v>
      </c>
      <c r="AP70" s="70"/>
      <c r="AQ70" s="78"/>
      <c r="AR70" s="78">
        <f>AR68/W65</f>
        <v>1.337871131</v>
      </c>
      <c r="AS70" s="78"/>
      <c r="AT70" s="78">
        <f>AT68/W66</f>
        <v>1</v>
      </c>
      <c r="AU70" s="78">
        <f>AU68/W67</f>
        <v>1.048484848</v>
      </c>
      <c r="AV70" s="78">
        <f>AV68/W68</f>
        <v>0.9563218391</v>
      </c>
      <c r="AW70" s="78">
        <f>AW68/W69</f>
        <v>1.01091954</v>
      </c>
    </row>
    <row r="71">
      <c r="A71" s="65"/>
      <c r="B71" s="66"/>
      <c r="C71" s="67"/>
      <c r="D71" s="68"/>
      <c r="E71" s="43"/>
      <c r="F71" s="65"/>
      <c r="G71" s="66"/>
      <c r="H71" s="67"/>
      <c r="I71" s="68"/>
      <c r="J71" s="43"/>
      <c r="Y71" s="12" t="s">
        <v>103</v>
      </c>
      <c r="AA71" s="16">
        <f>R64/W65</f>
        <v>0.6770416178</v>
      </c>
      <c r="AB71" s="16">
        <f>Z64/W65</f>
        <v>1.337871131</v>
      </c>
      <c r="AG71" s="88" t="s">
        <v>64</v>
      </c>
      <c r="AH71" s="78"/>
      <c r="AI71" s="78">
        <f>SUM((AI63-$O63)^2,(AI64-$O63)^2,(AI65-$O63)^2)</f>
        <v>0.004462270596</v>
      </c>
      <c r="AJ71" s="78"/>
      <c r="AK71" s="78">
        <f>SUM((AK63-$O64)^2,(AK64-$O64)^2,(AK65-$O64)^2)</f>
        <v>0.134098</v>
      </c>
      <c r="AL71" s="78">
        <f>SUM((AL63-$O65)^2,(AL64-$O65)^2,(AL65-$O65)^2)</f>
        <v>0.002778</v>
      </c>
      <c r="AM71" s="78">
        <f>SUM((AM63-$O66)^2,(AM64-$O66)^2,(AM65-$O66)^2)</f>
        <v>0.000149</v>
      </c>
      <c r="AN71" s="78">
        <f>SUM((AN63-$O67)^2,(AN64-$O67)^2,(AN65-$O67)^2)</f>
        <v>0.000149</v>
      </c>
      <c r="AP71" s="88" t="s">
        <v>64</v>
      </c>
      <c r="AQ71" s="78"/>
      <c r="AR71" s="78">
        <f>SUM((AR63-$O63)^2,(AR64-$O63)^2,(AR65-$O63)^2)</f>
        <v>0.000005219970188</v>
      </c>
      <c r="AS71" s="78"/>
      <c r="AT71" s="78">
        <f>SUM((AT63-$W66)^2,(AT64-$W66)^2,(AT65-$W66)^2)</f>
        <v>0.000434</v>
      </c>
      <c r="AU71" s="78">
        <f>SUM((AU63-$W67)^2,(AU64-$W67)^2,(AU65-$W67)^2)</f>
        <v>0.001826</v>
      </c>
      <c r="AV71" s="78">
        <f>SUM((AV63-$W68)^2,(AV64-$W68)^2,(AV65-$W68)^2)</f>
        <v>0.000484</v>
      </c>
      <c r="AW71" s="78">
        <f>SUM((AW63-$W69)^2,(AW64-$W69)^2,(AW65-$W69)^2)</f>
        <v>0.000484</v>
      </c>
    </row>
    <row r="72">
      <c r="N72" s="31"/>
      <c r="O72" s="32" t="s">
        <v>68</v>
      </c>
      <c r="Q72" s="32" t="s">
        <v>43</v>
      </c>
      <c r="R72" s="31"/>
      <c r="S72" s="12" t="s">
        <v>45</v>
      </c>
      <c r="T72" s="12" t="s">
        <v>46</v>
      </c>
      <c r="V72" s="33" t="s">
        <v>47</v>
      </c>
      <c r="Y72" s="12" t="s">
        <v>20</v>
      </c>
    </row>
    <row r="73">
      <c r="A73" s="25" t="s">
        <v>39</v>
      </c>
      <c r="B73" s="26" t="s">
        <v>40</v>
      </c>
      <c r="C73" s="27"/>
      <c r="D73" s="28"/>
      <c r="F73" s="105"/>
      <c r="G73" s="106" t="s">
        <v>104</v>
      </c>
      <c r="J73" s="105"/>
      <c r="K73" s="105"/>
      <c r="L73" s="105"/>
      <c r="M73" s="105"/>
      <c r="N73" s="32" t="s">
        <v>105</v>
      </c>
      <c r="O73" s="59">
        <f>0.815*0.415*0.165</f>
        <v>0.055807125</v>
      </c>
      <c r="Q73" s="32" t="s">
        <v>59</v>
      </c>
      <c r="R73" s="91">
        <f>G80</f>
        <v>1.886666667</v>
      </c>
      <c r="V73" s="42"/>
    </row>
    <row r="74">
      <c r="A74" s="34" t="s">
        <v>106</v>
      </c>
      <c r="B74" s="97" t="s">
        <v>107</v>
      </c>
      <c r="C74" s="36"/>
      <c r="D74" s="37"/>
      <c r="F74" s="107" t="s">
        <v>50</v>
      </c>
      <c r="G74" s="108" t="s">
        <v>51</v>
      </c>
      <c r="H74" s="108" t="s">
        <v>52</v>
      </c>
      <c r="I74" s="108" t="s">
        <v>53</v>
      </c>
      <c r="J74" s="106" t="s">
        <v>54</v>
      </c>
      <c r="K74" s="106" t="s">
        <v>55</v>
      </c>
      <c r="L74" s="106" t="s">
        <v>56</v>
      </c>
      <c r="M74" s="106" t="s">
        <v>57</v>
      </c>
      <c r="N74" s="32" t="s">
        <v>29</v>
      </c>
      <c r="O74" s="25">
        <v>0.815</v>
      </c>
      <c r="Q74" s="32" t="s">
        <v>60</v>
      </c>
      <c r="R74" s="93">
        <f>H80</f>
        <v>0.05564033333</v>
      </c>
      <c r="S74" s="16">
        <f t="shared" ref="S74:S77" si="31">R74/O73</f>
        <v>0.9970112837</v>
      </c>
      <c r="T74" s="51">
        <f t="shared" ref="T74:T77" si="32">O73-R74</f>
        <v>0.0001667916667</v>
      </c>
      <c r="V74" s="52">
        <f>(ABS(H75-O73)/O73+ABS(H76-O73)/O73+ABS(H77-O73)/O73)</f>
        <v>0.05562237797</v>
      </c>
    </row>
    <row r="75">
      <c r="A75" s="44"/>
      <c r="B75" s="45"/>
      <c r="D75" s="46"/>
      <c r="F75" s="109">
        <v>1.0</v>
      </c>
      <c r="G75" s="110">
        <v>1.27</v>
      </c>
      <c r="H75" s="111">
        <v>0.057109</v>
      </c>
      <c r="I75" s="109">
        <v>1878.0</v>
      </c>
      <c r="J75" s="112">
        <v>0.845</v>
      </c>
      <c r="K75" s="112">
        <v>0.57</v>
      </c>
      <c r="L75" s="112">
        <v>0.118</v>
      </c>
      <c r="M75" s="113">
        <f t="shared" ref="M75:M77" si="33">1.55-L75-0.1</f>
        <v>1.332</v>
      </c>
      <c r="N75" s="32" t="s">
        <v>30</v>
      </c>
      <c r="O75" s="25">
        <v>0.415</v>
      </c>
      <c r="Q75" s="32" t="s">
        <v>29</v>
      </c>
      <c r="R75" s="41">
        <f>J80</f>
        <v>0.8546666667</v>
      </c>
      <c r="S75" s="16">
        <f t="shared" si="31"/>
        <v>1.048670757</v>
      </c>
      <c r="T75" s="24">
        <f t="shared" si="32"/>
        <v>-0.03966666667</v>
      </c>
    </row>
    <row r="76">
      <c r="A76" s="44"/>
      <c r="B76" s="45"/>
      <c r="D76" s="46"/>
      <c r="F76" s="109">
        <v>2.0</v>
      </c>
      <c r="G76" s="110">
        <v>2.76</v>
      </c>
      <c r="H76" s="114">
        <v>0.055768</v>
      </c>
      <c r="I76" s="115">
        <v>2603.0</v>
      </c>
      <c r="J76" s="112">
        <v>0.876</v>
      </c>
      <c r="K76" s="112">
        <v>0.464</v>
      </c>
      <c r="L76" s="112">
        <v>0.137</v>
      </c>
      <c r="M76" s="113">
        <f t="shared" si="33"/>
        <v>1.313</v>
      </c>
      <c r="N76" s="32" t="s">
        <v>31</v>
      </c>
      <c r="O76" s="25">
        <v>0.165</v>
      </c>
      <c r="Q76" s="32" t="s">
        <v>30</v>
      </c>
      <c r="R76" s="41">
        <f>K80</f>
        <v>0.5016666667</v>
      </c>
      <c r="S76" s="16">
        <f t="shared" si="31"/>
        <v>1.208835341</v>
      </c>
      <c r="T76" s="24">
        <f t="shared" si="32"/>
        <v>-0.08666666667</v>
      </c>
    </row>
    <row r="77">
      <c r="A77" s="44"/>
      <c r="B77" s="45"/>
      <c r="D77" s="46"/>
      <c r="F77" s="109">
        <v>3.0</v>
      </c>
      <c r="G77" s="110">
        <v>1.63</v>
      </c>
      <c r="H77" s="114">
        <v>0.054044</v>
      </c>
      <c r="I77" s="115">
        <v>1979.0</v>
      </c>
      <c r="J77" s="112">
        <v>0.843</v>
      </c>
      <c r="K77" s="112">
        <v>0.471</v>
      </c>
      <c r="L77" s="112">
        <v>0.136</v>
      </c>
      <c r="M77" s="113">
        <f t="shared" si="33"/>
        <v>1.314</v>
      </c>
      <c r="N77" s="58" t="s">
        <v>61</v>
      </c>
      <c r="O77" s="103">
        <f>1.55-O76-0.1</f>
        <v>1.285</v>
      </c>
      <c r="Q77" s="32" t="s">
        <v>31</v>
      </c>
      <c r="R77" s="41">
        <f>L80</f>
        <v>0.1303333333</v>
      </c>
      <c r="S77" s="16">
        <f t="shared" si="31"/>
        <v>0.7898989899</v>
      </c>
      <c r="T77" s="24">
        <f t="shared" si="32"/>
        <v>0.03466666667</v>
      </c>
    </row>
    <row r="78">
      <c r="A78" s="44"/>
      <c r="B78" s="45"/>
      <c r="D78" s="46"/>
      <c r="F78" s="109">
        <v>4.0</v>
      </c>
      <c r="G78" s="110"/>
      <c r="H78" s="118"/>
      <c r="I78" s="115"/>
      <c r="J78" s="119"/>
      <c r="K78" s="119"/>
      <c r="L78" s="119"/>
      <c r="M78" s="119"/>
      <c r="Q78" s="32" t="s">
        <v>53</v>
      </c>
      <c r="R78" s="41">
        <f>I80</f>
        <v>2153.333333</v>
      </c>
    </row>
    <row r="79">
      <c r="A79" s="44"/>
      <c r="B79" s="45"/>
      <c r="D79" s="46"/>
      <c r="F79" s="109">
        <v>5.0</v>
      </c>
      <c r="G79" s="110"/>
      <c r="H79" s="115"/>
      <c r="I79" s="115"/>
      <c r="J79" s="119"/>
      <c r="K79" s="119"/>
      <c r="L79" s="119"/>
      <c r="M79" s="119"/>
      <c r="Q79" s="58" t="s">
        <v>61</v>
      </c>
      <c r="R79" s="103">
        <f>M80</f>
        <v>1.319666667</v>
      </c>
      <c r="S79" s="16">
        <f>R79/O77</f>
        <v>1.026977951</v>
      </c>
      <c r="T79" s="24">
        <f>O77-R79</f>
        <v>-0.03466666667</v>
      </c>
    </row>
    <row r="80">
      <c r="A80" s="44"/>
      <c r="B80" s="45"/>
      <c r="D80" s="46"/>
      <c r="F80" s="107" t="s">
        <v>62</v>
      </c>
      <c r="G80" s="127">
        <f t="shared" ref="G80:H80" si="34">AVERAGEA(G75:G78)</f>
        <v>1.886666667</v>
      </c>
      <c r="H80" s="114">
        <f t="shared" si="34"/>
        <v>0.05564033333</v>
      </c>
      <c r="I80" s="120">
        <f t="shared" ref="I80:M80" si="35">AVERAGEA(I75:I77)</f>
        <v>2153.333333</v>
      </c>
      <c r="J80" s="120">
        <f t="shared" si="35"/>
        <v>0.8546666667</v>
      </c>
      <c r="K80" s="120">
        <f t="shared" si="35"/>
        <v>0.5016666667</v>
      </c>
      <c r="L80" s="120">
        <f t="shared" si="35"/>
        <v>0.1303333333</v>
      </c>
      <c r="M80" s="120">
        <f t="shared" si="35"/>
        <v>1.319666667</v>
      </c>
    </row>
    <row r="81">
      <c r="A81" s="65"/>
      <c r="B81" s="66"/>
      <c r="C81" s="67"/>
      <c r="D81" s="68"/>
      <c r="F81" s="107" t="s">
        <v>63</v>
      </c>
      <c r="G81" s="119"/>
      <c r="H81" s="119">
        <f>H80/O73</f>
        <v>0.9970112837</v>
      </c>
      <c r="I81" s="119"/>
      <c r="J81" s="119">
        <f>J80/O74</f>
        <v>1.048670757</v>
      </c>
      <c r="K81" s="119">
        <f>K80/O75</f>
        <v>1.208835341</v>
      </c>
      <c r="L81" s="119">
        <f>L80/O76</f>
        <v>0.7898989899</v>
      </c>
      <c r="M81" s="119"/>
      <c r="N81" s="1" t="s">
        <v>108</v>
      </c>
    </row>
    <row r="82">
      <c r="F82" s="123" t="s">
        <v>64</v>
      </c>
      <c r="G82" s="119"/>
      <c r="H82" s="119">
        <f>SUM((H75-O73)^2,(H76-O73)^2,(H77-O73)^2)</f>
        <v>0.000004805019047</v>
      </c>
      <c r="I82" s="119"/>
      <c r="J82" s="119">
        <f>SUM((J75-$O74)^2,(J76-$O74)^2,(J77-$O74)^2)</f>
        <v>0.005405</v>
      </c>
      <c r="K82" s="119">
        <f>SUM((K75-$O75)^2,(K76-$O75)^2,(K77-$O75)^2)</f>
        <v>0.029562</v>
      </c>
      <c r="L82" s="119">
        <f>SUM((L75-$O76)^2,(L76-$O76)^2,(L77-$O76)^2)</f>
        <v>0.003834</v>
      </c>
      <c r="M82" s="119">
        <f>SUM((M75-$O77)^2,(M76-$O77)^2,(M77-$O77)^2)</f>
        <v>0.003834</v>
      </c>
      <c r="N82" s="3" t="s">
        <v>109</v>
      </c>
      <c r="O82" s="8"/>
      <c r="P82" s="3" t="s">
        <v>110</v>
      </c>
      <c r="Q82" s="8"/>
      <c r="R82" s="8"/>
    </row>
    <row r="83">
      <c r="F83" s="119"/>
      <c r="G83" s="119"/>
      <c r="H83" s="119"/>
      <c r="I83" s="119"/>
      <c r="J83" s="119"/>
      <c r="K83" s="119"/>
      <c r="L83" s="119"/>
      <c r="M83" s="119"/>
      <c r="N83" s="12" t="s">
        <v>111</v>
      </c>
      <c r="O83" s="6">
        <f>AVERAGE(R10,R33,R53,R73)</f>
        <v>0.8014583333</v>
      </c>
      <c r="Q83" s="128" t="s">
        <v>20</v>
      </c>
      <c r="S83" s="123" t="s">
        <v>27</v>
      </c>
      <c r="W83" s="129" t="s">
        <v>112</v>
      </c>
      <c r="X83" s="28"/>
    </row>
    <row r="84">
      <c r="N84" s="12" t="s">
        <v>53</v>
      </c>
      <c r="O84" s="6">
        <f>AVERAGE(R15,R38,R58,R78)</f>
        <v>1101.354167</v>
      </c>
      <c r="Q84" s="52"/>
      <c r="S84" s="119"/>
      <c r="T84" s="3" t="s">
        <v>113</v>
      </c>
      <c r="U84" s="3" t="s">
        <v>110</v>
      </c>
      <c r="W84" s="130" t="s">
        <v>27</v>
      </c>
      <c r="X84" s="130" t="s">
        <v>20</v>
      </c>
    </row>
    <row r="85">
      <c r="N85" s="12" t="s">
        <v>114</v>
      </c>
      <c r="O85" s="16">
        <f t="shared" ref="O85:P85" si="36">AVERAGE(S11,S34,S54,S74)</f>
        <v>0.991539539</v>
      </c>
      <c r="P85" s="24">
        <f t="shared" si="36"/>
        <v>0.00069453125</v>
      </c>
      <c r="Q85" s="131">
        <f>(V11+V34+V53+V74)/13</f>
        <v>0.02046728064</v>
      </c>
      <c r="S85" s="132">
        <f>SQRT(SUM(H18,H40,H62,H82)/13)</f>
        <v>0.001575355992</v>
      </c>
      <c r="T85" s="12" t="s">
        <v>111</v>
      </c>
      <c r="U85" s="6">
        <f t="shared" ref="U85:U90" si="38">AVERAGE(O83,O93)</f>
        <v>0.7478125</v>
      </c>
    </row>
    <row r="86">
      <c r="N86" s="12" t="s">
        <v>115</v>
      </c>
      <c r="O86" s="16">
        <f t="shared" ref="O86:P86" si="37">AVERAGE(S12,S35,S55,S75)</f>
        <v>1.010267976</v>
      </c>
      <c r="P86" s="6">
        <f t="shared" si="37"/>
        <v>-0.0079375</v>
      </c>
      <c r="S86" s="133">
        <f>SQRT(SUM(J18,J40,J62,J82)/13)</f>
        <v>0.03220248438</v>
      </c>
      <c r="T86" s="12" t="s">
        <v>53</v>
      </c>
      <c r="U86" s="6">
        <f t="shared" si="38"/>
        <v>910.8020833</v>
      </c>
    </row>
    <row r="87">
      <c r="N87" s="12" t="s">
        <v>116</v>
      </c>
      <c r="O87" s="16">
        <f t="shared" ref="O87:P87" si="39">AVERAGE(S13,S36,S56,S76)</f>
        <v>1.111473633</v>
      </c>
      <c r="P87" s="6">
        <f t="shared" si="39"/>
        <v>-0.03972916667</v>
      </c>
      <c r="S87" s="133">
        <f>SQRT(SUM(K18,K40,K62,K82)/13)</f>
        <v>0.05369142605</v>
      </c>
      <c r="T87" s="12" t="s">
        <v>114</v>
      </c>
      <c r="U87" s="16">
        <f t="shared" si="38"/>
        <v>0.9307311023</v>
      </c>
      <c r="V87" s="24">
        <f t="shared" ref="V87:V90" si="41">AVERAGE(P85,P95)</f>
        <v>0.007602098958</v>
      </c>
      <c r="W87" s="6">
        <f>SQRT(SUM(H18,H29,H40,H51,H62,AI71,AR71,H82)/24)</f>
        <v>0.01370253064</v>
      </c>
      <c r="X87" s="16">
        <f>(V11+V34+V53+V74+V24+V43+AL61+AU61)/24</f>
        <v>0.08492825879</v>
      </c>
    </row>
    <row r="88">
      <c r="N88" s="12" t="s">
        <v>117</v>
      </c>
      <c r="O88" s="16">
        <f t="shared" ref="O88:P88" si="40">AVERAGE(S14,S37,S57,S77)</f>
        <v>0.8892399657</v>
      </c>
      <c r="P88" s="6">
        <f t="shared" si="40"/>
        <v>0.034625</v>
      </c>
      <c r="S88" s="133">
        <f>SQRT(SUM(L18,L40,L62,L82)/13)</f>
        <v>0.03553762903</v>
      </c>
      <c r="T88" s="12" t="s">
        <v>115</v>
      </c>
      <c r="U88" s="16">
        <f t="shared" si="38"/>
        <v>0.9485345322</v>
      </c>
      <c r="V88" s="6">
        <f t="shared" si="41"/>
        <v>0.02453125</v>
      </c>
      <c r="W88" s="6">
        <f>SQRT(SUM(J18,J29,J40,J51,J62,AK71,AT71,J82)/24)</f>
        <v>0.08168919757</v>
      </c>
    </row>
    <row r="89">
      <c r="N89" s="12" t="s">
        <v>118</v>
      </c>
      <c r="O89" s="16">
        <f t="shared" ref="O89:P89" si="42">AVERAGE(S16,S39,S59,S79)</f>
        <v>1.032969083</v>
      </c>
      <c r="P89" s="6">
        <f t="shared" si="42"/>
        <v>-0.034625</v>
      </c>
      <c r="Q89" s="134" t="s">
        <v>119</v>
      </c>
      <c r="S89" s="133">
        <f>SQRT(SUM(M18,M40,M62,M82)/13)</f>
        <v>0.03553762903</v>
      </c>
      <c r="T89" s="12" t="s">
        <v>116</v>
      </c>
      <c r="U89" s="16">
        <f t="shared" si="38"/>
        <v>1.065438358</v>
      </c>
      <c r="V89" s="6">
        <f t="shared" si="41"/>
        <v>-0.01544791667</v>
      </c>
      <c r="W89" s="6">
        <f>SQRT(SUM(K18,K29,K40,K51,K62,AL71,AU71,K82)/24)</f>
        <v>0.04272001873</v>
      </c>
    </row>
    <row r="90">
      <c r="T90" s="12" t="s">
        <v>117</v>
      </c>
      <c r="U90" s="16">
        <f t="shared" si="38"/>
        <v>0.9556998694</v>
      </c>
      <c r="V90" s="6">
        <f t="shared" si="41"/>
        <v>0.01402083333</v>
      </c>
      <c r="W90" s="6">
        <f>SQRT(SUM(L18,L29,L40,L51,L62,AM71,AV71,L82)/24)</f>
        <v>0.02714774392</v>
      </c>
    </row>
    <row r="91">
      <c r="N91" s="1" t="s">
        <v>120</v>
      </c>
      <c r="T91" s="12" t="s">
        <v>118</v>
      </c>
      <c r="U91" s="16">
        <f t="shared" ref="U91:V91" si="43">AVERAGEA(O89,O99)</f>
        <v>1.020712456</v>
      </c>
      <c r="V91" s="6">
        <f t="shared" si="43"/>
        <v>-0.0221875</v>
      </c>
      <c r="W91" s="6">
        <f>SQRT(SUM(M18,M29,M40,M51,M62,AN71,AW71,M82)/24)</f>
        <v>0.02714774392</v>
      </c>
    </row>
    <row r="92">
      <c r="N92" s="3" t="s">
        <v>109</v>
      </c>
      <c r="O92" s="8"/>
      <c r="P92" s="3" t="s">
        <v>110</v>
      </c>
      <c r="Q92" s="8"/>
      <c r="S92" s="78"/>
    </row>
    <row r="93">
      <c r="N93" s="12" t="s">
        <v>111</v>
      </c>
      <c r="O93" s="6">
        <f>AVERAGE(R23,R42,R63,Z63)</f>
        <v>0.6941666667</v>
      </c>
      <c r="Q93" s="135" t="s">
        <v>20</v>
      </c>
      <c r="S93" s="88" t="s">
        <v>27</v>
      </c>
    </row>
    <row r="94">
      <c r="N94" s="12" t="s">
        <v>53</v>
      </c>
      <c r="O94" s="6">
        <f>AVERAGE(R28,R47,R68,Z68)</f>
        <v>720.25</v>
      </c>
      <c r="Q94" s="84"/>
      <c r="S94" s="78"/>
    </row>
    <row r="95">
      <c r="N95" s="12" t="s">
        <v>114</v>
      </c>
      <c r="O95" s="16">
        <f t="shared" ref="O95:O98" si="44">AVERAGE(S24,S43,S64,AA64)</f>
        <v>0.8699226657</v>
      </c>
      <c r="P95" s="136">
        <f t="shared" ref="P95:P98" si="45">AVERAGE(T24,T43,T64,AC64)</f>
        <v>0.01450966667</v>
      </c>
      <c r="Q95" s="137">
        <f>(V24+V43+AL61+AU61)/11</f>
        <v>0.1611094148</v>
      </c>
      <c r="S95" s="138">
        <f>SQRT(SUM(H29,H51,AI71,AR71)/11)</f>
        <v>0.02016739403</v>
      </c>
    </row>
    <row r="96">
      <c r="N96" s="12" t="s">
        <v>115</v>
      </c>
      <c r="O96" s="16">
        <f t="shared" si="44"/>
        <v>0.8868010885</v>
      </c>
      <c r="P96" s="136">
        <f t="shared" si="45"/>
        <v>0.057</v>
      </c>
      <c r="S96" s="138">
        <f>SQRT(SUM(J29,J51,AK71,AT71)/11)</f>
        <v>0.1154729406</v>
      </c>
    </row>
    <row r="97">
      <c r="N97" s="12" t="s">
        <v>116</v>
      </c>
      <c r="O97" s="16">
        <f t="shared" si="44"/>
        <v>1.019403083</v>
      </c>
      <c r="P97" s="136">
        <f t="shared" si="45"/>
        <v>0.008833333333</v>
      </c>
      <c r="S97" s="138">
        <f>SQRT(SUM(K29,K51,AL71,AU71)/11)</f>
        <v>0.02397726196</v>
      </c>
    </row>
    <row r="98">
      <c r="N98" s="12" t="s">
        <v>117</v>
      </c>
      <c r="O98" s="16">
        <f t="shared" si="44"/>
        <v>1.022159773</v>
      </c>
      <c r="P98" s="136">
        <f t="shared" si="45"/>
        <v>-0.006583333333</v>
      </c>
      <c r="S98" s="138">
        <f>SQRT(SUM(L29,L51,AM71,AV71)/11)</f>
        <v>0.01074497769</v>
      </c>
    </row>
    <row r="99">
      <c r="N99" s="12" t="s">
        <v>118</v>
      </c>
      <c r="O99" s="16">
        <f>AVERAGE(S29,S48,S69,AA69)</f>
        <v>1.008455829</v>
      </c>
      <c r="P99" s="136">
        <f>AVERAGE(T29,T48,T69,AC69)</f>
        <v>-0.00975</v>
      </c>
      <c r="S99" s="138">
        <f>SQRT(SUM(M29,M51,AN71,AW71)/11)</f>
        <v>0.01074497769</v>
      </c>
    </row>
  </sheetData>
  <mergeCells count="39">
    <mergeCell ref="B9:D9"/>
    <mergeCell ref="G9:I9"/>
    <mergeCell ref="W9:Y9"/>
    <mergeCell ref="A10:A17"/>
    <mergeCell ref="B10:D17"/>
    <mergeCell ref="B20:D20"/>
    <mergeCell ref="G20:I20"/>
    <mergeCell ref="A21:A28"/>
    <mergeCell ref="B21:D28"/>
    <mergeCell ref="B31:D31"/>
    <mergeCell ref="G31:I31"/>
    <mergeCell ref="B32:D39"/>
    <mergeCell ref="B42:D42"/>
    <mergeCell ref="G42:I42"/>
    <mergeCell ref="G53:I53"/>
    <mergeCell ref="V61:AB61"/>
    <mergeCell ref="AH61:AJ61"/>
    <mergeCell ref="AQ61:AS61"/>
    <mergeCell ref="A32:A39"/>
    <mergeCell ref="A43:A50"/>
    <mergeCell ref="B43:D50"/>
    <mergeCell ref="B53:D53"/>
    <mergeCell ref="A54:A61"/>
    <mergeCell ref="B54:D61"/>
    <mergeCell ref="N61:T61"/>
    <mergeCell ref="B73:D73"/>
    <mergeCell ref="G73:I73"/>
    <mergeCell ref="A74:A81"/>
    <mergeCell ref="B74:D81"/>
    <mergeCell ref="N81:R81"/>
    <mergeCell ref="N91:R91"/>
    <mergeCell ref="W83:X83"/>
    <mergeCell ref="B63:D63"/>
    <mergeCell ref="G63:I63"/>
    <mergeCell ref="A64:A71"/>
    <mergeCell ref="B64:D71"/>
    <mergeCell ref="F64:F71"/>
    <mergeCell ref="G64:I71"/>
    <mergeCell ref="Y71:Z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13"/>
    <col customWidth="1" min="14" max="14" width="25.63"/>
    <col customWidth="1" min="15" max="15" width="17.0"/>
    <col customWidth="1" min="17" max="17" width="24.13"/>
    <col customWidth="1" min="18" max="18" width="13.63"/>
    <col customWidth="1" min="19" max="19" width="37.5"/>
    <col customWidth="1" min="20" max="20" width="58.13"/>
    <col customWidth="1" min="21" max="21" width="37.13"/>
    <col customWidth="1" min="22" max="22" width="37.88"/>
    <col customWidth="1" min="24" max="24" width="23.38"/>
  </cols>
  <sheetData>
    <row r="1" ht="27.0" customHeight="1"/>
    <row r="2" ht="27.0" customHeight="1">
      <c r="A2" s="12" t="s">
        <v>35</v>
      </c>
    </row>
    <row r="3" ht="27.0" customHeight="1"/>
    <row r="4" ht="27.0" customHeight="1"/>
    <row r="5" ht="27.0" customHeight="1"/>
    <row r="6" ht="27.0" customHeight="1">
      <c r="A6" s="12" t="s">
        <v>121</v>
      </c>
    </row>
    <row r="7" ht="27.0" customHeight="1"/>
    <row r="8" ht="27.0" customHeight="1">
      <c r="A8" s="25" t="s">
        <v>39</v>
      </c>
      <c r="B8" s="26" t="s">
        <v>40</v>
      </c>
      <c r="C8" s="27"/>
      <c r="D8" s="28"/>
      <c r="F8" s="105"/>
      <c r="G8" s="106" t="s">
        <v>41</v>
      </c>
      <c r="J8" s="105"/>
      <c r="K8" s="105"/>
      <c r="L8" s="105"/>
      <c r="M8" s="105"/>
      <c r="N8" s="31"/>
      <c r="O8" s="32" t="s">
        <v>42</v>
      </c>
      <c r="P8" s="8"/>
      <c r="Q8" s="32" t="s">
        <v>43</v>
      </c>
      <c r="R8" s="32" t="s">
        <v>44</v>
      </c>
      <c r="S8" s="3" t="s">
        <v>45</v>
      </c>
      <c r="T8" s="3" t="s">
        <v>46</v>
      </c>
      <c r="U8" s="8"/>
      <c r="V8" s="33" t="s">
        <v>47</v>
      </c>
    </row>
    <row r="9" ht="27.0" customHeight="1">
      <c r="A9" s="34" t="s">
        <v>48</v>
      </c>
      <c r="B9" s="139" t="s">
        <v>122</v>
      </c>
      <c r="C9" s="36"/>
      <c r="D9" s="37"/>
      <c r="F9" s="107" t="s">
        <v>50</v>
      </c>
      <c r="G9" s="108" t="s">
        <v>51</v>
      </c>
      <c r="H9" s="108" t="s">
        <v>52</v>
      </c>
      <c r="I9" s="108" t="s">
        <v>53</v>
      </c>
      <c r="J9" s="106" t="s">
        <v>54</v>
      </c>
      <c r="K9" s="106" t="s">
        <v>55</v>
      </c>
      <c r="L9" s="106" t="s">
        <v>56</v>
      </c>
      <c r="M9" s="106" t="s">
        <v>123</v>
      </c>
      <c r="N9" s="32" t="s">
        <v>58</v>
      </c>
      <c r="O9" s="59">
        <f>0.485*0.275*0.495</f>
        <v>0.066020625</v>
      </c>
      <c r="Q9" s="32" t="s">
        <v>59</v>
      </c>
      <c r="R9" s="41">
        <f>G15</f>
        <v>0.53</v>
      </c>
      <c r="V9" s="42"/>
      <c r="W9" s="43"/>
      <c r="X9" s="43"/>
      <c r="Y9" s="43"/>
    </row>
    <row r="10" ht="27.0" customHeight="1">
      <c r="A10" s="44"/>
      <c r="B10" s="45"/>
      <c r="D10" s="46"/>
      <c r="F10" s="109">
        <v>1.0</v>
      </c>
      <c r="G10" s="110">
        <v>0.5</v>
      </c>
      <c r="H10" s="140">
        <v>0.064924</v>
      </c>
      <c r="I10" s="109">
        <v>712.0</v>
      </c>
      <c r="J10" s="112">
        <v>0.489</v>
      </c>
      <c r="K10" s="112">
        <v>0.301</v>
      </c>
      <c r="L10" s="112">
        <v>0.498</v>
      </c>
      <c r="M10" s="113">
        <f t="shared" ref="M10:M12" si="1">1.55-L10-0.1</f>
        <v>0.952</v>
      </c>
      <c r="N10" s="32" t="s">
        <v>29</v>
      </c>
      <c r="O10" s="25">
        <v>0.485</v>
      </c>
      <c r="Q10" s="32" t="s">
        <v>60</v>
      </c>
      <c r="R10" s="50">
        <f>H15</f>
        <v>0.066232</v>
      </c>
      <c r="S10" s="16">
        <f t="shared" ref="S10:S13" si="2">R10/O9</f>
        <v>1.003201651</v>
      </c>
      <c r="T10" s="100">
        <f t="shared" ref="T10:T13" si="3">O9-R10</f>
        <v>-0.000211375</v>
      </c>
      <c r="V10" s="52">
        <f>(ABS(H10-O9)/O9+ABS(H11-O9)/O9+ABS(H12-O9)/O9)</f>
        <v>0.04781271004</v>
      </c>
      <c r="W10" s="53"/>
      <c r="X10" s="54"/>
    </row>
    <row r="11" ht="27.0" customHeight="1">
      <c r="A11" s="44"/>
      <c r="B11" s="45"/>
      <c r="D11" s="46"/>
      <c r="F11" s="109">
        <v>2.0</v>
      </c>
      <c r="G11" s="110">
        <v>0.54</v>
      </c>
      <c r="H11" s="115">
        <v>0.067916</v>
      </c>
      <c r="I11" s="115">
        <v>731.0</v>
      </c>
      <c r="J11" s="112">
        <v>0.511</v>
      </c>
      <c r="K11" s="112">
        <v>0.308</v>
      </c>
      <c r="L11" s="112">
        <v>0.498</v>
      </c>
      <c r="M11" s="113">
        <f t="shared" si="1"/>
        <v>0.952</v>
      </c>
      <c r="N11" s="32" t="s">
        <v>30</v>
      </c>
      <c r="O11" s="25">
        <v>0.275</v>
      </c>
      <c r="Q11" s="32" t="s">
        <v>29</v>
      </c>
      <c r="R11" s="25">
        <f>J15</f>
        <v>0.4986666667</v>
      </c>
      <c r="S11" s="16">
        <f t="shared" si="2"/>
        <v>1.028178694</v>
      </c>
      <c r="T11" s="100">
        <f t="shared" si="3"/>
        <v>-0.01366666667</v>
      </c>
      <c r="W11" s="53"/>
      <c r="X11" s="57"/>
      <c r="Y11" s="43"/>
    </row>
    <row r="12" ht="27.0" customHeight="1">
      <c r="A12" s="44"/>
      <c r="B12" s="45"/>
      <c r="D12" s="46"/>
      <c r="F12" s="109">
        <v>3.0</v>
      </c>
      <c r="G12" s="110">
        <v>0.55</v>
      </c>
      <c r="H12" s="115">
        <v>0.065856</v>
      </c>
      <c r="I12" s="115">
        <v>729.0</v>
      </c>
      <c r="J12" s="112">
        <v>0.496</v>
      </c>
      <c r="K12" s="112">
        <v>0.308</v>
      </c>
      <c r="L12" s="112">
        <v>0.499</v>
      </c>
      <c r="M12" s="113">
        <f t="shared" si="1"/>
        <v>0.951</v>
      </c>
      <c r="N12" s="32" t="s">
        <v>31</v>
      </c>
      <c r="O12" s="41">
        <v>0.495</v>
      </c>
      <c r="Q12" s="32" t="s">
        <v>30</v>
      </c>
      <c r="R12" s="25">
        <f>K15</f>
        <v>0.3056666667</v>
      </c>
      <c r="S12" s="16">
        <f t="shared" si="2"/>
        <v>1.111515152</v>
      </c>
      <c r="T12" s="100">
        <f t="shared" si="3"/>
        <v>-0.03066666667</v>
      </c>
      <c r="W12" s="53"/>
      <c r="X12" s="43"/>
      <c r="Y12" s="43"/>
    </row>
    <row r="13" ht="27.0" customHeight="1">
      <c r="A13" s="44"/>
      <c r="B13" s="45"/>
      <c r="D13" s="46"/>
      <c r="F13" s="109">
        <v>4.0</v>
      </c>
      <c r="G13" s="110"/>
      <c r="H13" s="115"/>
      <c r="I13" s="115"/>
      <c r="J13" s="119"/>
      <c r="K13" s="119"/>
      <c r="L13" s="119"/>
      <c r="M13" s="119"/>
      <c r="N13" s="58" t="s">
        <v>61</v>
      </c>
      <c r="O13" s="87">
        <f>1.55-O12-0.1</f>
        <v>0.955</v>
      </c>
      <c r="Q13" s="32" t="s">
        <v>31</v>
      </c>
      <c r="R13" s="25">
        <f>L15</f>
        <v>0.4983333333</v>
      </c>
      <c r="S13" s="16">
        <f t="shared" si="2"/>
        <v>1.006734007</v>
      </c>
      <c r="T13" s="100">
        <f t="shared" si="3"/>
        <v>-0.003333333333</v>
      </c>
      <c r="W13" s="53"/>
      <c r="X13" s="43"/>
      <c r="Y13" s="43"/>
    </row>
    <row r="14" ht="27.0" customHeight="1">
      <c r="A14" s="44"/>
      <c r="B14" s="45"/>
      <c r="D14" s="46"/>
      <c r="F14" s="109">
        <v>5.0</v>
      </c>
      <c r="G14" s="110"/>
      <c r="H14" s="115"/>
      <c r="I14" s="115"/>
      <c r="J14" s="119"/>
      <c r="K14" s="119"/>
      <c r="L14" s="119"/>
      <c r="M14" s="119"/>
      <c r="Q14" s="32" t="s">
        <v>53</v>
      </c>
      <c r="R14" s="141">
        <f>I15</f>
        <v>724</v>
      </c>
      <c r="T14" s="100"/>
      <c r="W14" s="53"/>
      <c r="X14" s="43"/>
      <c r="Y14" s="43"/>
    </row>
    <row r="15" ht="27.0" customHeight="1">
      <c r="A15" s="44"/>
      <c r="B15" s="45"/>
      <c r="D15" s="46"/>
      <c r="F15" s="107" t="s">
        <v>62</v>
      </c>
      <c r="G15" s="120">
        <f t="shared" ref="G15:M15" si="4">AVERAGEA(G10:G13)</f>
        <v>0.53</v>
      </c>
      <c r="H15" s="142">
        <f t="shared" si="4"/>
        <v>0.066232</v>
      </c>
      <c r="I15" s="120">
        <f t="shared" si="4"/>
        <v>724</v>
      </c>
      <c r="J15" s="119">
        <f t="shared" si="4"/>
        <v>0.4986666667</v>
      </c>
      <c r="K15" s="119">
        <f t="shared" si="4"/>
        <v>0.3056666667</v>
      </c>
      <c r="L15" s="119">
        <f t="shared" si="4"/>
        <v>0.4983333333</v>
      </c>
      <c r="M15" s="119">
        <f t="shared" si="4"/>
        <v>0.9516666667</v>
      </c>
      <c r="Q15" s="58" t="s">
        <v>61</v>
      </c>
      <c r="R15" s="59">
        <f>M15</f>
        <v>0.9516666667</v>
      </c>
      <c r="S15" s="16">
        <f>R15/O13</f>
        <v>0.9965095986</v>
      </c>
      <c r="T15" s="100">
        <f>O13-R15</f>
        <v>0.003333333333</v>
      </c>
      <c r="V15" s="53"/>
      <c r="W15" s="64"/>
      <c r="X15" s="57"/>
      <c r="Y15" s="64"/>
    </row>
    <row r="16" ht="27.0" customHeight="1">
      <c r="A16" s="65"/>
      <c r="B16" s="66"/>
      <c r="C16" s="67"/>
      <c r="D16" s="68"/>
      <c r="F16" s="123" t="s">
        <v>63</v>
      </c>
      <c r="G16" s="119"/>
      <c r="H16" s="119">
        <f>H15/O9</f>
        <v>1.003201651</v>
      </c>
      <c r="I16" s="119"/>
      <c r="J16" s="119">
        <f>J15/O10</f>
        <v>1.028178694</v>
      </c>
      <c r="K16" s="119">
        <f>K15/O11</f>
        <v>1.111515152</v>
      </c>
      <c r="L16" s="119">
        <f>L15/O12</f>
        <v>1.006734007</v>
      </c>
      <c r="M16" s="119">
        <f>M15/O13</f>
        <v>0.9965095986</v>
      </c>
    </row>
    <row r="17" ht="27.0" customHeight="1">
      <c r="F17" s="123" t="s">
        <v>64</v>
      </c>
      <c r="G17" s="119"/>
      <c r="H17" s="119">
        <f>SUM((H10-O9)^2,(H11-O9)^2,(H12-O9)^2)</f>
        <v>0.000004822134172</v>
      </c>
      <c r="I17" s="119"/>
      <c r="J17" s="119">
        <f>SUM((J10-$O10)^2,(J11-$O10)^2,(J12-$O10)^2)</f>
        <v>0.000813</v>
      </c>
      <c r="K17" s="119">
        <f>SUM((K10-$O11)^2,(K11-$O11)^2,(K12-$O11)^2)</f>
        <v>0.002854</v>
      </c>
      <c r="L17" s="119">
        <f>SUM((L10-$O12)^2,(L11-$O12)^2,(L12-$O12)^2)</f>
        <v>0.000034</v>
      </c>
      <c r="M17" s="119">
        <f>SUM((M10-$O13)^2,(M11-$O13)^2,(M12-$O13)^2)</f>
        <v>0.000034</v>
      </c>
    </row>
    <row r="18" ht="27.0" customHeight="1"/>
    <row r="19" ht="27.0" customHeight="1">
      <c r="A19" s="25" t="s">
        <v>39</v>
      </c>
      <c r="B19" s="26" t="s">
        <v>40</v>
      </c>
      <c r="C19" s="27"/>
      <c r="D19" s="28"/>
      <c r="F19" s="70"/>
      <c r="G19" s="71" t="s">
        <v>41</v>
      </c>
      <c r="J19" s="70"/>
      <c r="K19" s="70"/>
      <c r="L19" s="70"/>
      <c r="M19" s="70"/>
    </row>
    <row r="20" ht="27.0" customHeight="1">
      <c r="A20" s="34" t="s">
        <v>66</v>
      </c>
      <c r="B20" s="143" t="s">
        <v>124</v>
      </c>
      <c r="C20" s="36"/>
      <c r="D20" s="37"/>
      <c r="F20" s="73" t="s">
        <v>50</v>
      </c>
      <c r="G20" s="74" t="s">
        <v>51</v>
      </c>
      <c r="H20" s="74" t="s">
        <v>52</v>
      </c>
      <c r="I20" s="74" t="s">
        <v>53</v>
      </c>
      <c r="J20" s="71" t="s">
        <v>54</v>
      </c>
      <c r="K20" s="71" t="s">
        <v>55</v>
      </c>
      <c r="L20" s="71" t="s">
        <v>56</v>
      </c>
      <c r="M20" s="71" t="s">
        <v>123</v>
      </c>
    </row>
    <row r="21" ht="27.0" customHeight="1">
      <c r="A21" s="44"/>
      <c r="B21" s="45"/>
      <c r="D21" s="46"/>
      <c r="F21" s="75">
        <v>1.0</v>
      </c>
      <c r="G21" s="76">
        <v>1.05</v>
      </c>
      <c r="H21" s="77">
        <v>0.034102</v>
      </c>
      <c r="I21" s="75">
        <v>1139.0</v>
      </c>
      <c r="J21" s="124">
        <v>0.48</v>
      </c>
      <c r="K21" s="124">
        <v>0.431</v>
      </c>
      <c r="L21" s="124">
        <v>0.192</v>
      </c>
      <c r="M21" s="144">
        <f t="shared" ref="M21:M23" si="5">1.55-L21-0.1</f>
        <v>1.258</v>
      </c>
      <c r="N21" s="59"/>
      <c r="O21" s="25" t="s">
        <v>68</v>
      </c>
      <c r="Q21" s="32" t="s">
        <v>43</v>
      </c>
      <c r="R21" s="32" t="s">
        <v>44</v>
      </c>
      <c r="S21" s="3" t="s">
        <v>45</v>
      </c>
      <c r="T21" s="3" t="s">
        <v>46</v>
      </c>
      <c r="U21" s="8"/>
      <c r="V21" s="79" t="s">
        <v>47</v>
      </c>
    </row>
    <row r="22" ht="27.0" customHeight="1">
      <c r="A22" s="44"/>
      <c r="B22" s="45"/>
      <c r="D22" s="46"/>
      <c r="F22" s="75">
        <v>2.0</v>
      </c>
      <c r="G22" s="76">
        <v>1.04</v>
      </c>
      <c r="H22" s="80">
        <v>0.034273</v>
      </c>
      <c r="I22" s="80">
        <v>1141.0</v>
      </c>
      <c r="J22" s="124">
        <v>0.473</v>
      </c>
      <c r="K22" s="124">
        <v>0.434</v>
      </c>
      <c r="L22" s="124">
        <v>0.19</v>
      </c>
      <c r="M22" s="144">
        <f t="shared" si="5"/>
        <v>1.26</v>
      </c>
      <c r="N22" s="32" t="s">
        <v>69</v>
      </c>
      <c r="O22" s="59">
        <f>0.44*0.46*0.21</f>
        <v>0.042504</v>
      </c>
      <c r="Q22" s="32" t="s">
        <v>59</v>
      </c>
      <c r="R22" s="41">
        <f>G26</f>
        <v>1.046666667</v>
      </c>
      <c r="V22" s="81"/>
    </row>
    <row r="23" ht="27.0" customHeight="1">
      <c r="A23" s="44"/>
      <c r="B23" s="45"/>
      <c r="D23" s="46"/>
      <c r="F23" s="75">
        <v>3.0</v>
      </c>
      <c r="G23" s="76">
        <v>1.05</v>
      </c>
      <c r="H23" s="80">
        <v>0.034646</v>
      </c>
      <c r="I23" s="80">
        <v>1102.0</v>
      </c>
      <c r="J23" s="124">
        <v>0.476</v>
      </c>
      <c r="K23" s="124">
        <v>0.434</v>
      </c>
      <c r="L23" s="124">
        <v>0.192</v>
      </c>
      <c r="M23" s="144">
        <f t="shared" si="5"/>
        <v>1.258</v>
      </c>
      <c r="N23" s="32" t="s">
        <v>29</v>
      </c>
      <c r="O23" s="25">
        <v>0.46</v>
      </c>
      <c r="Q23" s="32" t="s">
        <v>60</v>
      </c>
      <c r="R23" s="50">
        <f>H26</f>
        <v>0.03434033333</v>
      </c>
      <c r="S23" s="16">
        <f t="shared" ref="S23:S26" si="6">R23/O22</f>
        <v>0.8079318025</v>
      </c>
      <c r="T23" s="21">
        <f t="shared" ref="T23:T26" si="7">O22-R23</f>
        <v>0.008163666667</v>
      </c>
      <c r="V23" s="84">
        <f>(ABS(H21-O22)/O22+ABS(H22-O22)/O22+ABS(H23-O22)/O22)</f>
        <v>0.5762045925</v>
      </c>
    </row>
    <row r="24" ht="27.0" customHeight="1">
      <c r="A24" s="44"/>
      <c r="B24" s="45"/>
      <c r="D24" s="46"/>
      <c r="F24" s="75">
        <v>4.0</v>
      </c>
      <c r="G24" s="76"/>
      <c r="H24" s="80"/>
      <c r="I24" s="80"/>
      <c r="J24" s="78"/>
      <c r="K24" s="78"/>
      <c r="L24" s="78"/>
      <c r="M24" s="78"/>
      <c r="N24" s="32" t="s">
        <v>30</v>
      </c>
      <c r="O24" s="25">
        <v>0.44</v>
      </c>
      <c r="Q24" s="32" t="s">
        <v>29</v>
      </c>
      <c r="R24" s="41">
        <f>J26</f>
        <v>0.4763333333</v>
      </c>
      <c r="S24" s="16">
        <f t="shared" si="6"/>
        <v>1.035507246</v>
      </c>
      <c r="T24" s="24">
        <f t="shared" si="7"/>
        <v>-0.01633333333</v>
      </c>
    </row>
    <row r="25" ht="27.0" customHeight="1">
      <c r="A25" s="44"/>
      <c r="B25" s="45"/>
      <c r="D25" s="46"/>
      <c r="F25" s="75">
        <v>5.0</v>
      </c>
      <c r="G25" s="76"/>
      <c r="H25" s="80"/>
      <c r="I25" s="80"/>
      <c r="J25" s="78"/>
      <c r="K25" s="78"/>
      <c r="L25" s="78"/>
      <c r="M25" s="78"/>
      <c r="N25" s="32" t="s">
        <v>31</v>
      </c>
      <c r="O25" s="25">
        <v>0.21</v>
      </c>
      <c r="Q25" s="32" t="s">
        <v>30</v>
      </c>
      <c r="R25" s="41">
        <f>K26</f>
        <v>0.433</v>
      </c>
      <c r="S25" s="16">
        <f t="shared" si="6"/>
        <v>0.9840909091</v>
      </c>
      <c r="T25" s="24">
        <f t="shared" si="7"/>
        <v>0.007</v>
      </c>
    </row>
    <row r="26" ht="27.0" customHeight="1">
      <c r="A26" s="44"/>
      <c r="B26" s="45"/>
      <c r="D26" s="46"/>
      <c r="F26" s="73" t="s">
        <v>62</v>
      </c>
      <c r="G26" s="85">
        <f t="shared" ref="G26:M26" si="8">AVERAGEA(G21:G24)</f>
        <v>1.046666667</v>
      </c>
      <c r="H26" s="86">
        <f t="shared" si="8"/>
        <v>0.03434033333</v>
      </c>
      <c r="I26" s="85">
        <f t="shared" si="8"/>
        <v>1127.333333</v>
      </c>
      <c r="J26" s="85">
        <f t="shared" si="8"/>
        <v>0.4763333333</v>
      </c>
      <c r="K26" s="85">
        <f t="shared" si="8"/>
        <v>0.433</v>
      </c>
      <c r="L26" s="85">
        <f t="shared" si="8"/>
        <v>0.1913333333</v>
      </c>
      <c r="M26" s="85">
        <f t="shared" si="8"/>
        <v>1.258666667</v>
      </c>
      <c r="N26" s="58" t="s">
        <v>61</v>
      </c>
      <c r="O26" s="87">
        <f>1.55-O25-0.1</f>
        <v>1.24</v>
      </c>
      <c r="Q26" s="32" t="s">
        <v>31</v>
      </c>
      <c r="R26" s="41">
        <f>L26</f>
        <v>0.1913333333</v>
      </c>
      <c r="S26" s="16">
        <f t="shared" si="6"/>
        <v>0.9111111111</v>
      </c>
      <c r="T26" s="24">
        <f t="shared" si="7"/>
        <v>0.01866666667</v>
      </c>
    </row>
    <row r="27" ht="27.0" customHeight="1">
      <c r="A27" s="65"/>
      <c r="B27" s="66"/>
      <c r="C27" s="67"/>
      <c r="D27" s="68"/>
      <c r="F27" s="88" t="s">
        <v>63</v>
      </c>
      <c r="G27" s="78"/>
      <c r="H27" s="78">
        <f>H26/O22</f>
        <v>0.8079318025</v>
      </c>
      <c r="I27" s="78"/>
      <c r="J27" s="78">
        <f>J26/O23</f>
        <v>1.035507246</v>
      </c>
      <c r="K27" s="78">
        <f>K26/O24</f>
        <v>0.9840909091</v>
      </c>
      <c r="L27" s="78">
        <f>L26/O25</f>
        <v>0.9111111111</v>
      </c>
      <c r="M27" s="78">
        <f>M26/O26</f>
        <v>1.015053763</v>
      </c>
      <c r="Q27" s="32" t="s">
        <v>53</v>
      </c>
      <c r="R27" s="141">
        <f>I26</f>
        <v>1127.333333</v>
      </c>
    </row>
    <row r="28">
      <c r="F28" s="88" t="s">
        <v>64</v>
      </c>
      <c r="G28" s="78"/>
      <c r="H28" s="78">
        <f>SUM((H21-$O22)^2,(H22-$O22)^2,(H23-$O22)^2)</f>
        <v>0.000200091129</v>
      </c>
      <c r="I28" s="78"/>
      <c r="J28" s="78">
        <f>SUM((J21-$O23)^2,(J22-$O23)^2,(J23-$O23)^2)</f>
        <v>0.000825</v>
      </c>
      <c r="K28" s="78">
        <f>SUM((K21-$O24)^2,(K22-$O24)^2,(K23-$O24)^2)</f>
        <v>0.000153</v>
      </c>
      <c r="L28" s="78">
        <f>SUM((L21-$O25)^2,(L22-$O25)^2,(L23-$O25)^2)</f>
        <v>0.001048</v>
      </c>
      <c r="M28" s="78">
        <f>SUM((M21-$O26)^2,(M22-$O26)^2,(M23-$O26)^2)</f>
        <v>0.001048</v>
      </c>
      <c r="Q28" s="58" t="s">
        <v>61</v>
      </c>
      <c r="R28" s="87">
        <f>M26</f>
        <v>1.258666667</v>
      </c>
      <c r="S28" s="16">
        <f>R28/O26</f>
        <v>1.015053763</v>
      </c>
      <c r="T28" s="24">
        <f>O26-R28</f>
        <v>-0.01866666667</v>
      </c>
    </row>
    <row r="29">
      <c r="Q29" s="3"/>
      <c r="S29" s="16"/>
    </row>
    <row r="30" ht="26.25" customHeight="1">
      <c r="A30" s="25" t="s">
        <v>39</v>
      </c>
      <c r="B30" s="26" t="s">
        <v>40</v>
      </c>
      <c r="C30" s="27"/>
      <c r="D30" s="28"/>
      <c r="F30" s="105"/>
      <c r="G30" s="106" t="s">
        <v>41</v>
      </c>
      <c r="J30" s="105"/>
      <c r="K30" s="105"/>
      <c r="L30" s="105"/>
      <c r="M30" s="105"/>
    </row>
    <row r="31" ht="26.25" customHeight="1">
      <c r="A31" s="34" t="s">
        <v>71</v>
      </c>
      <c r="B31" s="143" t="s">
        <v>125</v>
      </c>
      <c r="C31" s="36"/>
      <c r="D31" s="37"/>
      <c r="F31" s="107" t="s">
        <v>50</v>
      </c>
      <c r="G31" s="108" t="s">
        <v>51</v>
      </c>
      <c r="H31" s="108" t="s">
        <v>52</v>
      </c>
      <c r="I31" s="108" t="s">
        <v>53</v>
      </c>
      <c r="J31" s="106" t="s">
        <v>54</v>
      </c>
      <c r="K31" s="106" t="s">
        <v>55</v>
      </c>
      <c r="L31" s="106" t="s">
        <v>56</v>
      </c>
      <c r="M31" s="106" t="s">
        <v>123</v>
      </c>
      <c r="N31" s="31"/>
      <c r="O31" s="32" t="s">
        <v>68</v>
      </c>
      <c r="P31" s="8"/>
      <c r="Q31" s="32" t="s">
        <v>43</v>
      </c>
      <c r="R31" s="32" t="s">
        <v>44</v>
      </c>
      <c r="S31" s="3" t="s">
        <v>45</v>
      </c>
      <c r="T31" s="3" t="s">
        <v>46</v>
      </c>
      <c r="U31" s="8"/>
      <c r="V31" s="33" t="s">
        <v>47</v>
      </c>
    </row>
    <row r="32" ht="26.25" customHeight="1">
      <c r="A32" s="44"/>
      <c r="B32" s="45"/>
      <c r="D32" s="46"/>
      <c r="F32" s="109">
        <v>1.0</v>
      </c>
      <c r="G32" s="110">
        <v>0.88</v>
      </c>
      <c r="H32" s="140">
        <v>0.126833</v>
      </c>
      <c r="I32" s="109">
        <v>1374.0</v>
      </c>
      <c r="J32" s="116">
        <v>0.53</v>
      </c>
      <c r="K32" s="116">
        <v>0.526</v>
      </c>
      <c r="L32" s="116">
        <v>0.495</v>
      </c>
      <c r="M32" s="113">
        <f t="shared" ref="M32:M34" si="9">1.55-L32-0.1</f>
        <v>0.955</v>
      </c>
      <c r="N32" s="32" t="s">
        <v>73</v>
      </c>
      <c r="O32" s="59">
        <f>0.505*0.505*0.505</f>
        <v>0.128787625</v>
      </c>
      <c r="Q32" s="32" t="s">
        <v>59</v>
      </c>
      <c r="R32" s="41">
        <f>G37</f>
        <v>0.8066666667</v>
      </c>
      <c r="V32" s="42"/>
    </row>
    <row r="33" ht="26.25" customHeight="1">
      <c r="A33" s="44"/>
      <c r="B33" s="45"/>
      <c r="D33" s="46"/>
      <c r="F33" s="109">
        <v>2.0</v>
      </c>
      <c r="G33" s="110">
        <v>0.82</v>
      </c>
      <c r="H33" s="115">
        <v>0.130103</v>
      </c>
      <c r="I33" s="115">
        <v>1436.0</v>
      </c>
      <c r="J33" s="116">
        <v>0.536</v>
      </c>
      <c r="K33" s="116">
        <v>0.534</v>
      </c>
      <c r="L33" s="116">
        <v>0.494</v>
      </c>
      <c r="M33" s="113">
        <f t="shared" si="9"/>
        <v>0.956</v>
      </c>
      <c r="N33" s="32" t="s">
        <v>29</v>
      </c>
      <c r="O33" s="25">
        <v>0.505</v>
      </c>
      <c r="Q33" s="32" t="s">
        <v>60</v>
      </c>
      <c r="R33" s="50">
        <f>H37</f>
        <v>0.1281683333</v>
      </c>
      <c r="S33" s="16">
        <f t="shared" ref="S33:S36" si="10">R33/O32</f>
        <v>0.9951913729</v>
      </c>
      <c r="T33" s="21">
        <f t="shared" ref="T33:T36" si="11">O32-R33</f>
        <v>0.0006192916667</v>
      </c>
      <c r="V33" s="52">
        <f>(ABS(H32-O32)/O32+ABS(H33-O32)/O32+ABS(H34-O32)/O32)</f>
        <v>0.03485292162</v>
      </c>
    </row>
    <row r="34" ht="26.25" customHeight="1">
      <c r="A34" s="44"/>
      <c r="B34" s="45"/>
      <c r="D34" s="46"/>
      <c r="F34" s="109">
        <v>3.0</v>
      </c>
      <c r="G34" s="110">
        <v>0.72</v>
      </c>
      <c r="H34" s="115">
        <v>0.127569</v>
      </c>
      <c r="I34" s="115">
        <v>1332.0</v>
      </c>
      <c r="J34" s="116">
        <v>0.528</v>
      </c>
      <c r="K34" s="116">
        <v>0.519</v>
      </c>
      <c r="L34" s="116">
        <v>0.494</v>
      </c>
      <c r="M34" s="113">
        <f t="shared" si="9"/>
        <v>0.956</v>
      </c>
      <c r="N34" s="32" t="s">
        <v>30</v>
      </c>
      <c r="O34" s="25">
        <v>0.505</v>
      </c>
      <c r="Q34" s="32" t="s">
        <v>29</v>
      </c>
      <c r="R34" s="41">
        <f>J37</f>
        <v>0.5313333333</v>
      </c>
      <c r="S34" s="16">
        <f t="shared" si="10"/>
        <v>1.052145215</v>
      </c>
      <c r="T34" s="24">
        <f t="shared" si="11"/>
        <v>-0.02633333333</v>
      </c>
    </row>
    <row r="35" ht="26.25" customHeight="1">
      <c r="A35" s="44"/>
      <c r="B35" s="45"/>
      <c r="D35" s="46"/>
      <c r="F35" s="109">
        <v>4.0</v>
      </c>
      <c r="G35" s="110"/>
      <c r="H35" s="115"/>
      <c r="I35" s="115"/>
      <c r="J35" s="119"/>
      <c r="K35" s="119"/>
      <c r="L35" s="119"/>
      <c r="M35" s="119"/>
      <c r="N35" s="32" t="s">
        <v>31</v>
      </c>
      <c r="O35" s="25">
        <v>0.505</v>
      </c>
      <c r="Q35" s="32" t="s">
        <v>30</v>
      </c>
      <c r="R35" s="41">
        <f>K37</f>
        <v>0.5263333333</v>
      </c>
      <c r="S35" s="16">
        <f t="shared" si="10"/>
        <v>1.042244224</v>
      </c>
      <c r="T35" s="24">
        <f t="shared" si="11"/>
        <v>-0.02133333333</v>
      </c>
    </row>
    <row r="36" ht="26.25" customHeight="1">
      <c r="A36" s="44"/>
      <c r="B36" s="45"/>
      <c r="D36" s="46"/>
      <c r="F36" s="109">
        <v>5.0</v>
      </c>
      <c r="G36" s="110"/>
      <c r="H36" s="115"/>
      <c r="I36" s="115"/>
      <c r="J36" s="119"/>
      <c r="K36" s="119"/>
      <c r="L36" s="119"/>
      <c r="M36" s="119"/>
      <c r="N36" s="58" t="s">
        <v>61</v>
      </c>
      <c r="O36" s="87">
        <f>1.55-O35-0.1</f>
        <v>0.945</v>
      </c>
      <c r="Q36" s="32" t="s">
        <v>31</v>
      </c>
      <c r="R36" s="41">
        <f>L37</f>
        <v>0.4943333333</v>
      </c>
      <c r="S36" s="16">
        <f t="shared" si="10"/>
        <v>0.9788778878</v>
      </c>
      <c r="T36" s="24">
        <f t="shared" si="11"/>
        <v>0.01066666667</v>
      </c>
    </row>
    <row r="37" ht="26.25" customHeight="1">
      <c r="A37" s="44"/>
      <c r="B37" s="45"/>
      <c r="D37" s="46"/>
      <c r="F37" s="107" t="s">
        <v>62</v>
      </c>
      <c r="G37" s="120">
        <f t="shared" ref="G37:M37" si="12">AVERAGEA(G32:G35)</f>
        <v>0.8066666667</v>
      </c>
      <c r="H37" s="142">
        <f t="shared" si="12"/>
        <v>0.1281683333</v>
      </c>
      <c r="I37" s="145">
        <f t="shared" si="12"/>
        <v>1380.666667</v>
      </c>
      <c r="J37" s="120">
        <f t="shared" si="12"/>
        <v>0.5313333333</v>
      </c>
      <c r="K37" s="120">
        <f t="shared" si="12"/>
        <v>0.5263333333</v>
      </c>
      <c r="L37" s="120">
        <f t="shared" si="12"/>
        <v>0.4943333333</v>
      </c>
      <c r="M37" s="120">
        <f t="shared" si="12"/>
        <v>0.9556666667</v>
      </c>
      <c r="Q37" s="32" t="s">
        <v>53</v>
      </c>
      <c r="R37" s="60">
        <f>I37</f>
        <v>1380.666667</v>
      </c>
    </row>
    <row r="38" ht="26.25" customHeight="1">
      <c r="A38" s="65"/>
      <c r="B38" s="66"/>
      <c r="C38" s="67"/>
      <c r="D38" s="68"/>
      <c r="F38" s="123" t="s">
        <v>63</v>
      </c>
      <c r="G38" s="119"/>
      <c r="H38" s="119">
        <f>H37/O32</f>
        <v>0.9951913729</v>
      </c>
      <c r="I38" s="119"/>
      <c r="J38" s="119">
        <f>J37/O33</f>
        <v>1.052145215</v>
      </c>
      <c r="K38" s="119">
        <f>K37/O34</f>
        <v>1.042244224</v>
      </c>
      <c r="L38" s="119">
        <f>L37/O35</f>
        <v>0.9788778878</v>
      </c>
      <c r="M38" s="119">
        <f>M37/O36</f>
        <v>1.011287478</v>
      </c>
      <c r="Q38" s="58" t="s">
        <v>61</v>
      </c>
      <c r="R38" s="87">
        <f>M37</f>
        <v>0.9556666667</v>
      </c>
      <c r="S38" s="16">
        <f>R38/O36</f>
        <v>1.011287478</v>
      </c>
      <c r="T38" s="24">
        <f>O36-R38</f>
        <v>-0.01066666667</v>
      </c>
    </row>
    <row r="39" ht="26.25" customHeight="1">
      <c r="A39" s="53"/>
      <c r="B39" s="146"/>
      <c r="C39" s="146"/>
      <c r="D39" s="146"/>
      <c r="F39" s="123" t="s">
        <v>64</v>
      </c>
      <c r="G39" s="119"/>
      <c r="H39" s="119">
        <f>SUM((H32-O32)^2,(H33-O32)^2,(H34-O32)^2)</f>
        <v>0.000007035817172</v>
      </c>
      <c r="I39" s="119"/>
      <c r="J39" s="119">
        <f>SUM((J32-$O33)^2,(J33-$O33)^2,(J34-$O33)^2)</f>
        <v>0.002115</v>
      </c>
      <c r="K39" s="119">
        <f>SUM((K32-$O34)^2,(K33-$O34)^2,(K34-$O34)^2)</f>
        <v>0.001478</v>
      </c>
      <c r="L39" s="119">
        <f>SUM((L32-$O35)^2,(L33-$O35)^2,(L34-$O35)^2)</f>
        <v>0.000342</v>
      </c>
      <c r="M39" s="119">
        <f>SUM((M32-$O36)^2,(M33-$O36)^2,(M34-$O36)^2)</f>
        <v>0.000342</v>
      </c>
    </row>
    <row r="40">
      <c r="N40" s="59"/>
      <c r="O40" s="32" t="s">
        <v>68</v>
      </c>
      <c r="P40" s="8"/>
      <c r="Q40" s="32" t="s">
        <v>43</v>
      </c>
      <c r="R40" s="32" t="s">
        <v>44</v>
      </c>
      <c r="S40" s="3" t="s">
        <v>45</v>
      </c>
      <c r="T40" s="3" t="s">
        <v>46</v>
      </c>
      <c r="U40" s="8"/>
      <c r="V40" s="79" t="s">
        <v>47</v>
      </c>
    </row>
    <row r="41" ht="28.5" customHeight="1">
      <c r="A41" s="25" t="s">
        <v>39</v>
      </c>
      <c r="B41" s="26" t="s">
        <v>40</v>
      </c>
      <c r="C41" s="27"/>
      <c r="D41" s="28"/>
      <c r="F41" s="70"/>
      <c r="G41" s="71" t="s">
        <v>41</v>
      </c>
      <c r="J41" s="70"/>
      <c r="K41" s="70"/>
      <c r="L41" s="70"/>
      <c r="M41" s="70"/>
      <c r="N41" s="32" t="s">
        <v>75</v>
      </c>
      <c r="O41" s="59">
        <f>0.51*0.16*0.155</f>
        <v>0.012648</v>
      </c>
      <c r="Q41" s="32" t="s">
        <v>59</v>
      </c>
      <c r="R41" s="41">
        <f>G48</f>
        <v>0.65</v>
      </c>
      <c r="V41" s="81"/>
    </row>
    <row r="42" ht="28.5" customHeight="1">
      <c r="A42" s="34" t="s">
        <v>76</v>
      </c>
      <c r="B42" s="143" t="s">
        <v>126</v>
      </c>
      <c r="C42" s="36"/>
      <c r="D42" s="37"/>
      <c r="F42" s="73" t="s">
        <v>50</v>
      </c>
      <c r="G42" s="74" t="s">
        <v>51</v>
      </c>
      <c r="H42" s="74" t="s">
        <v>52</v>
      </c>
      <c r="I42" s="74" t="s">
        <v>53</v>
      </c>
      <c r="J42" s="71" t="s">
        <v>54</v>
      </c>
      <c r="K42" s="71" t="s">
        <v>55</v>
      </c>
      <c r="L42" s="71" t="s">
        <v>56</v>
      </c>
      <c r="M42" s="71" t="s">
        <v>123</v>
      </c>
      <c r="N42" s="32" t="s">
        <v>29</v>
      </c>
      <c r="O42" s="25">
        <v>0.51</v>
      </c>
      <c r="Q42" s="32" t="s">
        <v>60</v>
      </c>
      <c r="R42" s="50">
        <f>H48</f>
        <v>0.01241825</v>
      </c>
      <c r="S42" s="16">
        <f t="shared" ref="S42:S45" si="13">R42/O41</f>
        <v>0.9818350727</v>
      </c>
      <c r="T42" s="21">
        <f t="shared" ref="T42:T45" si="14">O41-R42</f>
        <v>0.00022975</v>
      </c>
      <c r="V42" s="84">
        <f>(ABS(H43-O41)/O41+ABS(H44-O41)/O41+ABS(H45-O41)/O41+ABS(H46-O41)/O41)</f>
        <v>0.1967900063</v>
      </c>
    </row>
    <row r="43" ht="28.5" customHeight="1">
      <c r="A43" s="44"/>
      <c r="B43" s="45"/>
      <c r="D43" s="46"/>
      <c r="F43" s="75">
        <v>1.0</v>
      </c>
      <c r="G43" s="76">
        <v>0.57</v>
      </c>
      <c r="H43" s="77">
        <v>0.013433</v>
      </c>
      <c r="I43" s="75">
        <v>455.0</v>
      </c>
      <c r="J43" s="124">
        <v>0.449</v>
      </c>
      <c r="K43" s="124">
        <v>0.266</v>
      </c>
      <c r="L43" s="124">
        <v>0.144</v>
      </c>
      <c r="M43" s="144">
        <f t="shared" ref="M43:M46" si="15">1.55-L43-0.1</f>
        <v>1.306</v>
      </c>
      <c r="N43" s="32" t="s">
        <v>30</v>
      </c>
      <c r="O43" s="25">
        <v>0.16</v>
      </c>
      <c r="Q43" s="32" t="s">
        <v>29</v>
      </c>
      <c r="R43" s="99">
        <f>J48</f>
        <v>0.491</v>
      </c>
      <c r="S43" s="16">
        <f t="shared" si="13"/>
        <v>0.962745098</v>
      </c>
      <c r="T43" s="100">
        <f t="shared" si="14"/>
        <v>0.019</v>
      </c>
    </row>
    <row r="44" ht="28.5" customHeight="1">
      <c r="A44" s="44"/>
      <c r="B44" s="45"/>
      <c r="D44" s="46"/>
      <c r="F44" s="75">
        <v>2.0</v>
      </c>
      <c r="G44" s="76">
        <v>0.75</v>
      </c>
      <c r="H44" s="80">
        <v>0.012143</v>
      </c>
      <c r="I44" s="80">
        <v>490.0</v>
      </c>
      <c r="J44" s="124">
        <v>0.5</v>
      </c>
      <c r="K44" s="124">
        <v>0.196</v>
      </c>
      <c r="L44" s="124">
        <v>0.146</v>
      </c>
      <c r="M44" s="144">
        <f t="shared" si="15"/>
        <v>1.304</v>
      </c>
      <c r="N44" s="32" t="s">
        <v>31</v>
      </c>
      <c r="O44" s="25">
        <v>0.155</v>
      </c>
      <c r="Q44" s="32" t="s">
        <v>30</v>
      </c>
      <c r="R44" s="99">
        <f>K48</f>
        <v>0.2166666667</v>
      </c>
      <c r="S44" s="16">
        <f t="shared" si="13"/>
        <v>1.354166667</v>
      </c>
      <c r="T44" s="100">
        <f t="shared" si="14"/>
        <v>-0.05666666667</v>
      </c>
    </row>
    <row r="45" ht="28.5" customHeight="1">
      <c r="A45" s="44"/>
      <c r="B45" s="45"/>
      <c r="D45" s="46"/>
      <c r="F45" s="75">
        <v>3.0</v>
      </c>
      <c r="G45" s="76">
        <v>0.71</v>
      </c>
      <c r="H45" s="80">
        <v>0.012414</v>
      </c>
      <c r="I45" s="80">
        <v>459.0</v>
      </c>
      <c r="J45" s="124">
        <v>0.524</v>
      </c>
      <c r="K45" s="124">
        <v>0.188</v>
      </c>
      <c r="L45" s="124">
        <v>0.147</v>
      </c>
      <c r="M45" s="144">
        <f t="shared" si="15"/>
        <v>1.303</v>
      </c>
      <c r="N45" s="58" t="s">
        <v>61</v>
      </c>
      <c r="O45" s="87">
        <f>1.55-O44-0.1</f>
        <v>1.295</v>
      </c>
      <c r="Q45" s="32" t="s">
        <v>31</v>
      </c>
      <c r="R45" s="99">
        <f>L48</f>
        <v>0.1456666667</v>
      </c>
      <c r="S45" s="16">
        <f t="shared" si="13"/>
        <v>0.9397849462</v>
      </c>
      <c r="T45" s="100">
        <f t="shared" si="14"/>
        <v>0.009333333333</v>
      </c>
    </row>
    <row r="46" ht="28.5" customHeight="1">
      <c r="A46" s="44"/>
      <c r="B46" s="45"/>
      <c r="D46" s="46"/>
      <c r="F46" s="75">
        <v>4.0</v>
      </c>
      <c r="G46" s="76">
        <v>0.57</v>
      </c>
      <c r="H46" s="80">
        <v>0.011683</v>
      </c>
      <c r="I46" s="80">
        <v>424.0</v>
      </c>
      <c r="J46" s="124">
        <v>0.523</v>
      </c>
      <c r="K46" s="124">
        <v>0.189</v>
      </c>
      <c r="L46" s="124">
        <v>0.145</v>
      </c>
      <c r="M46" s="144">
        <f t="shared" si="15"/>
        <v>1.305</v>
      </c>
      <c r="Q46" s="32" t="s">
        <v>53</v>
      </c>
      <c r="R46" s="141">
        <f>I48</f>
        <v>457</v>
      </c>
    </row>
    <row r="47" ht="28.5" customHeight="1">
      <c r="A47" s="44"/>
      <c r="B47" s="45"/>
      <c r="D47" s="46"/>
      <c r="F47" s="75">
        <v>5.0</v>
      </c>
      <c r="G47" s="76"/>
      <c r="H47" s="80"/>
      <c r="I47" s="80"/>
      <c r="J47" s="78"/>
      <c r="K47" s="78"/>
      <c r="L47" s="78"/>
      <c r="M47" s="78"/>
      <c r="Q47" s="58" t="s">
        <v>61</v>
      </c>
      <c r="R47" s="147">
        <f>M48</f>
        <v>1.304333333</v>
      </c>
      <c r="S47" s="16">
        <f>R47/O45</f>
        <v>1.007207207</v>
      </c>
      <c r="T47" s="24">
        <f>O45-R47</f>
        <v>-0.009333333333</v>
      </c>
    </row>
    <row r="48" ht="28.5" customHeight="1">
      <c r="A48" s="44"/>
      <c r="B48" s="45"/>
      <c r="D48" s="46"/>
      <c r="F48" s="73" t="s">
        <v>62</v>
      </c>
      <c r="G48" s="85">
        <f t="shared" ref="G48:I48" si="16">AVERAGEA(G43:G46)</f>
        <v>0.65</v>
      </c>
      <c r="H48" s="86">
        <f t="shared" si="16"/>
        <v>0.01241825</v>
      </c>
      <c r="I48" s="85">
        <f t="shared" si="16"/>
        <v>457</v>
      </c>
      <c r="J48" s="86">
        <f t="shared" ref="J48:M48" si="17">AVERAGEA(J43:J45)</f>
        <v>0.491</v>
      </c>
      <c r="K48" s="86">
        <f t="shared" si="17"/>
        <v>0.2166666667</v>
      </c>
      <c r="L48" s="86">
        <f t="shared" si="17"/>
        <v>0.1456666667</v>
      </c>
      <c r="M48" s="86">
        <f t="shared" si="17"/>
        <v>1.304333333</v>
      </c>
    </row>
    <row r="49" ht="28.5" customHeight="1">
      <c r="A49" s="65"/>
      <c r="B49" s="66"/>
      <c r="C49" s="67"/>
      <c r="D49" s="68"/>
      <c r="F49" s="88" t="s">
        <v>63</v>
      </c>
      <c r="G49" s="78"/>
      <c r="H49" s="78">
        <f>H48/O41</f>
        <v>0.9818350727</v>
      </c>
      <c r="I49" s="78"/>
      <c r="J49" s="78">
        <f>J48/O42</f>
        <v>0.962745098</v>
      </c>
      <c r="K49" s="78">
        <f>K48/O43</f>
        <v>1.354166667</v>
      </c>
      <c r="L49" s="78">
        <f>L48/O44</f>
        <v>0.9397849462</v>
      </c>
      <c r="M49" s="78">
        <f>M48/O45</f>
        <v>1.007207207</v>
      </c>
    </row>
    <row r="50">
      <c r="F50" s="88" t="s">
        <v>64</v>
      </c>
      <c r="G50" s="78"/>
      <c r="H50" s="78">
        <f>SUM((H43-O41)^2,(H44-O41)^2,(H45-O41)^2,(H46-O41)^2)</f>
        <v>0.000001857231</v>
      </c>
      <c r="I50" s="78"/>
      <c r="J50" s="78">
        <f>SUM((J43-$O42)^2,(J44-$O42)^2,(J45-$O42)^2,(J46-$O42)^2)</f>
        <v>0.004186</v>
      </c>
      <c r="K50" s="78">
        <f>SUM((K43-$O43)^2,(K44-$O43)^2,(K45-$O43)^2,(K46-$O43)^2)</f>
        <v>0.014157</v>
      </c>
      <c r="L50" s="78">
        <f>SUM((L43-$O44)^2,(L44-$O44)^2,(L45-$O44)^2,(L46-$O44)^2)</f>
        <v>0.000366</v>
      </c>
      <c r="M50" s="78">
        <f>SUM((M43-$O45)^2,(M44-$O45)^2,(M45-$O45)^2,(M46-$O45)^2)</f>
        <v>0.000366</v>
      </c>
      <c r="N50" s="59"/>
      <c r="O50" s="25" t="s">
        <v>68</v>
      </c>
      <c r="Q50" s="32" t="s">
        <v>43</v>
      </c>
      <c r="R50" s="32" t="s">
        <v>44</v>
      </c>
      <c r="S50" s="3" t="s">
        <v>45</v>
      </c>
      <c r="T50" s="3" t="s">
        <v>46</v>
      </c>
      <c r="U50" s="8"/>
      <c r="V50" s="33" t="s">
        <v>47</v>
      </c>
    </row>
    <row r="51">
      <c r="N51" s="59"/>
      <c r="O51" s="25"/>
      <c r="Q51" s="32"/>
      <c r="R51" s="32"/>
      <c r="S51" s="12"/>
      <c r="T51" s="12"/>
      <c r="V51" s="42"/>
    </row>
    <row r="52" ht="24.75" customHeight="1">
      <c r="A52" s="25" t="s">
        <v>39</v>
      </c>
      <c r="B52" s="26" t="s">
        <v>40</v>
      </c>
      <c r="C52" s="27"/>
      <c r="D52" s="28"/>
      <c r="F52" s="105"/>
      <c r="G52" s="106" t="s">
        <v>41</v>
      </c>
      <c r="J52" s="105"/>
      <c r="K52" s="105"/>
      <c r="L52" s="105"/>
      <c r="M52" s="105"/>
      <c r="N52" s="32" t="s">
        <v>79</v>
      </c>
      <c r="O52" s="59">
        <f>0.33*0.29*0.36</f>
        <v>0.034452</v>
      </c>
      <c r="Q52" s="32" t="s">
        <v>59</v>
      </c>
      <c r="R52" s="41">
        <f>G59</f>
        <v>0.4575</v>
      </c>
      <c r="V52" s="52">
        <f>(ABS(H54-O52)/O52+ABS(H55-O52)/O52+ABS(H56-O52)/O52+ABS(H57-O52)/O52)</f>
        <v>0.1242888657</v>
      </c>
    </row>
    <row r="53" ht="24.75" customHeight="1">
      <c r="A53" s="34" t="s">
        <v>80</v>
      </c>
      <c r="B53" s="143" t="s">
        <v>127</v>
      </c>
      <c r="C53" s="36"/>
      <c r="D53" s="37"/>
      <c r="F53" s="107" t="s">
        <v>50</v>
      </c>
      <c r="G53" s="108" t="s">
        <v>51</v>
      </c>
      <c r="H53" s="108" t="s">
        <v>52</v>
      </c>
      <c r="I53" s="108" t="s">
        <v>53</v>
      </c>
      <c r="J53" s="106" t="s">
        <v>54</v>
      </c>
      <c r="K53" s="106" t="s">
        <v>55</v>
      </c>
      <c r="L53" s="106" t="s">
        <v>56</v>
      </c>
      <c r="M53" s="106" t="s">
        <v>123</v>
      </c>
      <c r="N53" s="32" t="s">
        <v>29</v>
      </c>
      <c r="O53" s="25">
        <v>0.33</v>
      </c>
      <c r="Q53" s="32" t="s">
        <v>60</v>
      </c>
      <c r="R53" s="50">
        <f>H59</f>
        <v>0.0333815</v>
      </c>
      <c r="S53" s="16">
        <f t="shared" ref="S53:S56" si="18">R53/O52</f>
        <v>0.9689277836</v>
      </c>
      <c r="T53" s="21">
        <f t="shared" ref="T53:T56" si="19">O52-R53</f>
        <v>0.0010705</v>
      </c>
    </row>
    <row r="54" ht="24.75" customHeight="1">
      <c r="A54" s="44"/>
      <c r="B54" s="45"/>
      <c r="D54" s="46"/>
      <c r="F54" s="109">
        <v>1.0</v>
      </c>
      <c r="G54" s="110">
        <v>0.39</v>
      </c>
      <c r="H54" s="140">
        <v>0.032598</v>
      </c>
      <c r="I54" s="109">
        <v>541.0</v>
      </c>
      <c r="J54" s="112">
        <v>0.373</v>
      </c>
      <c r="K54" s="112">
        <v>0.33</v>
      </c>
      <c r="L54" s="112">
        <v>0.318</v>
      </c>
      <c r="M54" s="113">
        <f t="shared" ref="M54:M57" si="20">1.55-L54-0.1</f>
        <v>1.132</v>
      </c>
      <c r="N54" s="32" t="s">
        <v>30</v>
      </c>
      <c r="O54" s="25">
        <v>0.29</v>
      </c>
      <c r="Q54" s="32" t="s">
        <v>29</v>
      </c>
      <c r="R54" s="41">
        <f>J59</f>
        <v>0.3683333333</v>
      </c>
      <c r="S54" s="16">
        <f t="shared" si="18"/>
        <v>1.116161616</v>
      </c>
      <c r="T54" s="24">
        <f t="shared" si="19"/>
        <v>-0.03833333333</v>
      </c>
    </row>
    <row r="55" ht="24.75" customHeight="1">
      <c r="A55" s="44"/>
      <c r="B55" s="45"/>
      <c r="D55" s="46"/>
      <c r="F55" s="109">
        <v>2.0</v>
      </c>
      <c r="G55" s="110">
        <v>0.48</v>
      </c>
      <c r="H55" s="115">
        <v>0.034313</v>
      </c>
      <c r="I55" s="115">
        <v>636.0</v>
      </c>
      <c r="J55" s="112">
        <v>0.376</v>
      </c>
      <c r="K55" s="112">
        <v>0.336</v>
      </c>
      <c r="L55" s="112">
        <v>0.32</v>
      </c>
      <c r="M55" s="113">
        <f t="shared" si="20"/>
        <v>1.13</v>
      </c>
      <c r="N55" s="32" t="s">
        <v>31</v>
      </c>
      <c r="O55" s="25">
        <v>0.36</v>
      </c>
      <c r="Q55" s="32" t="s">
        <v>30</v>
      </c>
      <c r="R55" s="41">
        <f>K59</f>
        <v>0.328</v>
      </c>
      <c r="S55" s="16">
        <f t="shared" si="18"/>
        <v>1.131034483</v>
      </c>
      <c r="T55" s="24">
        <f t="shared" si="19"/>
        <v>-0.038</v>
      </c>
    </row>
    <row r="56" ht="24.75" customHeight="1">
      <c r="A56" s="44"/>
      <c r="B56" s="45"/>
      <c r="D56" s="46"/>
      <c r="F56" s="109">
        <v>3.0</v>
      </c>
      <c r="G56" s="110">
        <v>0.48</v>
      </c>
      <c r="H56" s="115">
        <v>0.033052</v>
      </c>
      <c r="I56" s="115">
        <v>606.0</v>
      </c>
      <c r="J56" s="112">
        <v>0.37</v>
      </c>
      <c r="K56" s="112">
        <v>0.334</v>
      </c>
      <c r="L56" s="112">
        <v>0.322</v>
      </c>
      <c r="M56" s="113">
        <f t="shared" si="20"/>
        <v>1.128</v>
      </c>
      <c r="N56" s="58" t="s">
        <v>61</v>
      </c>
      <c r="O56" s="87">
        <f>1.55-O55-0.1</f>
        <v>1.09</v>
      </c>
      <c r="Q56" s="32" t="s">
        <v>31</v>
      </c>
      <c r="R56" s="41">
        <f>L59</f>
        <v>0.329</v>
      </c>
      <c r="S56" s="16">
        <f t="shared" si="18"/>
        <v>0.9138888889</v>
      </c>
      <c r="T56" s="24">
        <f t="shared" si="19"/>
        <v>0.031</v>
      </c>
    </row>
    <row r="57" ht="24.75" customHeight="1">
      <c r="A57" s="44"/>
      <c r="B57" s="45"/>
      <c r="D57" s="46"/>
      <c r="F57" s="109">
        <v>4.0</v>
      </c>
      <c r="G57" s="110">
        <v>0.48</v>
      </c>
      <c r="H57" s="115">
        <v>0.033563</v>
      </c>
      <c r="I57" s="115">
        <v>533.0</v>
      </c>
      <c r="J57" s="112">
        <v>0.359</v>
      </c>
      <c r="K57" s="112">
        <v>0.314</v>
      </c>
      <c r="L57" s="112">
        <v>0.345</v>
      </c>
      <c r="M57" s="113">
        <f t="shared" si="20"/>
        <v>1.105</v>
      </c>
      <c r="Q57" s="32" t="s">
        <v>53</v>
      </c>
      <c r="R57" s="141">
        <f>I59</f>
        <v>579</v>
      </c>
    </row>
    <row r="58" ht="24.75" customHeight="1">
      <c r="A58" s="44"/>
      <c r="B58" s="45"/>
      <c r="D58" s="46"/>
      <c r="F58" s="109">
        <v>5.0</v>
      </c>
      <c r="G58" s="110"/>
      <c r="H58" s="115"/>
      <c r="I58" s="115"/>
      <c r="J58" s="119"/>
      <c r="K58" s="119"/>
      <c r="L58" s="119"/>
      <c r="M58" s="119"/>
      <c r="Q58" s="58" t="s">
        <v>61</v>
      </c>
      <c r="R58" s="87">
        <f>M59</f>
        <v>1.121</v>
      </c>
      <c r="S58" s="16">
        <f>R58/O56</f>
        <v>1.028440367</v>
      </c>
      <c r="T58" s="24">
        <f>O56-R58</f>
        <v>-0.031</v>
      </c>
    </row>
    <row r="59" ht="24.75" customHeight="1">
      <c r="A59" s="44"/>
      <c r="B59" s="45"/>
      <c r="D59" s="46"/>
      <c r="F59" s="107" t="s">
        <v>62</v>
      </c>
      <c r="G59" s="120">
        <f t="shared" ref="G59:I59" si="21">AVERAGEA(G54:G57)</f>
        <v>0.4575</v>
      </c>
      <c r="H59" s="142">
        <f t="shared" si="21"/>
        <v>0.0333815</v>
      </c>
      <c r="I59" s="120">
        <f t="shared" si="21"/>
        <v>579</v>
      </c>
      <c r="J59" s="120">
        <f t="shared" ref="J59:M59" si="22">AVERAGEA(J55:J57)</f>
        <v>0.3683333333</v>
      </c>
      <c r="K59" s="120">
        <f t="shared" si="22"/>
        <v>0.328</v>
      </c>
      <c r="L59" s="120">
        <f t="shared" si="22"/>
        <v>0.329</v>
      </c>
      <c r="M59" s="120">
        <f t="shared" si="22"/>
        <v>1.121</v>
      </c>
      <c r="AO59" s="12"/>
      <c r="AP59" s="12"/>
      <c r="AQ59" s="12"/>
      <c r="AR59" s="12"/>
      <c r="AS59" s="12"/>
      <c r="AT59" s="12"/>
      <c r="AU59" s="12"/>
      <c r="AV59" s="12"/>
      <c r="AW59" s="12"/>
    </row>
    <row r="60" ht="24.75" customHeight="1">
      <c r="A60" s="65"/>
      <c r="B60" s="66"/>
      <c r="C60" s="67"/>
      <c r="D60" s="68"/>
      <c r="F60" s="123" t="s">
        <v>63</v>
      </c>
      <c r="G60" s="119"/>
      <c r="H60" s="119">
        <f>H59/O52</f>
        <v>0.9689277836</v>
      </c>
      <c r="I60" s="119"/>
      <c r="J60" s="119">
        <f>J59/O53</f>
        <v>1.116161616</v>
      </c>
      <c r="K60" s="119">
        <f>K59/O54</f>
        <v>1.131034483</v>
      </c>
      <c r="L60" s="119">
        <f>L59/O55</f>
        <v>0.9138888889</v>
      </c>
      <c r="M60" s="119">
        <f>M59/O56</f>
        <v>1.028440367</v>
      </c>
      <c r="N60" s="121" t="s">
        <v>82</v>
      </c>
      <c r="O60" s="27"/>
      <c r="P60" s="27"/>
      <c r="Q60" s="27"/>
      <c r="R60" s="27"/>
      <c r="S60" s="27"/>
      <c r="T60" s="28"/>
      <c r="V60" s="121" t="s">
        <v>83</v>
      </c>
      <c r="W60" s="27"/>
      <c r="X60" s="27"/>
      <c r="Y60" s="27"/>
      <c r="Z60" s="27"/>
      <c r="AA60" s="27"/>
      <c r="AB60" s="28"/>
      <c r="AF60" s="70"/>
      <c r="AG60" s="71" t="s">
        <v>84</v>
      </c>
      <c r="AJ60" s="79" t="s">
        <v>85</v>
      </c>
      <c r="AK60" s="122">
        <f>(ABS(AH62-O62)/O62+ABS(AH63-O62)/O62+ABS(AH64-O62)/O62)</f>
        <v>0.2096734507</v>
      </c>
      <c r="AL60" s="12"/>
      <c r="AM60" s="12"/>
      <c r="AN60" s="12"/>
      <c r="AO60" s="12"/>
      <c r="AP60" s="70"/>
      <c r="AQ60" s="71" t="s">
        <v>86</v>
      </c>
      <c r="AT60" s="79" t="s">
        <v>85</v>
      </c>
      <c r="AU60" s="122">
        <f>(ABS(AR62-O62)/O62+ABS(AR63-O62)/O62+ABS(AR64-O62)/O62+ABS(AR65-O62)/O62)</f>
        <v>0.345639246</v>
      </c>
      <c r="AV60" s="12"/>
      <c r="AW60" s="12"/>
    </row>
    <row r="61">
      <c r="F61" s="123" t="s">
        <v>64</v>
      </c>
      <c r="G61" s="119"/>
      <c r="H61" s="119">
        <f>SUM((H54-O52)^2,(H55-O52)^2,(H56-O52)^2,(H57-O52)^2)</f>
        <v>0.000006206958</v>
      </c>
      <c r="I61" s="119"/>
      <c r="J61" s="119">
        <f>SUM((J54-$O53)^2,(J55-$O53)^2,(J56-$O53)^2,(J57-$O53)^2)</f>
        <v>0.006406</v>
      </c>
      <c r="K61" s="119">
        <f>SUM((K54-$O54)^2,(K55-$O54)^2,(K56-$O54)^2,(K57-$O54)^2)</f>
        <v>0.006228</v>
      </c>
      <c r="L61" s="119">
        <f>SUM((L54-$O55)^2,(L55-$O55)^2,(L56-$O55)^2,(L57-$O55)^2)</f>
        <v>0.005033</v>
      </c>
      <c r="M61" s="119">
        <f>SUM((M54-$O56)^2,(M55-$O56)^2,(M56-$O56)^2,(M57-$O56)^2)</f>
        <v>0.005033</v>
      </c>
      <c r="N61" s="31"/>
      <c r="O61" s="32" t="s">
        <v>68</v>
      </c>
      <c r="Q61" s="32" t="s">
        <v>43</v>
      </c>
      <c r="R61" s="32" t="s">
        <v>62</v>
      </c>
      <c r="S61" s="3" t="s">
        <v>45</v>
      </c>
      <c r="T61" s="3" t="s">
        <v>46</v>
      </c>
      <c r="U61" s="32" t="s">
        <v>87</v>
      </c>
      <c r="V61" s="32" t="s">
        <v>68</v>
      </c>
      <c r="X61" s="32" t="s">
        <v>43</v>
      </c>
      <c r="Y61" s="32" t="s">
        <v>44</v>
      </c>
      <c r="Z61" s="3" t="s">
        <v>45</v>
      </c>
      <c r="AA61" s="8"/>
      <c r="AB61" s="3" t="s">
        <v>46</v>
      </c>
      <c r="AC61" s="8"/>
      <c r="AD61" s="8"/>
      <c r="AE61" s="8"/>
      <c r="AF61" s="73" t="s">
        <v>50</v>
      </c>
      <c r="AG61" s="74" t="s">
        <v>51</v>
      </c>
      <c r="AH61" s="74" t="s">
        <v>52</v>
      </c>
      <c r="AI61" s="74" t="s">
        <v>53</v>
      </c>
      <c r="AJ61" s="74"/>
      <c r="AK61" s="71" t="s">
        <v>54</v>
      </c>
      <c r="AL61" s="71" t="s">
        <v>55</v>
      </c>
      <c r="AM61" s="71" t="s">
        <v>56</v>
      </c>
      <c r="AN61" s="71" t="s">
        <v>123</v>
      </c>
      <c r="AO61" s="53"/>
      <c r="AP61" s="73" t="s">
        <v>50</v>
      </c>
      <c r="AQ61" s="74" t="s">
        <v>51</v>
      </c>
      <c r="AR61" s="74" t="s">
        <v>52</v>
      </c>
      <c r="AS61" s="74" t="s">
        <v>53</v>
      </c>
      <c r="AT61" s="71" t="s">
        <v>54</v>
      </c>
      <c r="AU61" s="71" t="s">
        <v>55</v>
      </c>
      <c r="AV61" s="71" t="s">
        <v>56</v>
      </c>
      <c r="AW61" s="71" t="s">
        <v>123</v>
      </c>
    </row>
    <row r="62">
      <c r="A62" s="25" t="s">
        <v>39</v>
      </c>
      <c r="B62" s="26" t="s">
        <v>89</v>
      </c>
      <c r="C62" s="27"/>
      <c r="D62" s="28"/>
      <c r="F62" s="25" t="s">
        <v>39</v>
      </c>
      <c r="G62" s="26" t="s">
        <v>128</v>
      </c>
      <c r="H62" s="27"/>
      <c r="I62" s="28"/>
      <c r="N62" s="32" t="s">
        <v>91</v>
      </c>
      <c r="O62" s="59">
        <f>0.495*0.29*0.545</f>
        <v>0.07823475</v>
      </c>
      <c r="Q62" s="32" t="s">
        <v>59</v>
      </c>
      <c r="R62" s="41">
        <f>AG67</f>
        <v>0.8566666667</v>
      </c>
      <c r="U62" s="32" t="s">
        <v>92</v>
      </c>
      <c r="V62" s="59">
        <v>0.044224999999999993</v>
      </c>
      <c r="X62" s="32" t="s">
        <v>59</v>
      </c>
      <c r="Y62" s="41">
        <f>AQ67</f>
        <v>1.6225</v>
      </c>
      <c r="AF62" s="75">
        <v>1.0</v>
      </c>
      <c r="AG62" s="76">
        <v>1.19</v>
      </c>
      <c r="AH62" s="77">
        <v>0.082193</v>
      </c>
      <c r="AI62" s="75">
        <v>1171.0</v>
      </c>
      <c r="AJ62" s="75"/>
      <c r="AK62" s="124">
        <v>0.544</v>
      </c>
      <c r="AL62" s="124">
        <v>0.311</v>
      </c>
      <c r="AM62" s="124">
        <v>0.539</v>
      </c>
      <c r="AN62" s="144">
        <f t="shared" ref="AN62:AN64" si="23">1.55-AM62-0.1</f>
        <v>0.911</v>
      </c>
      <c r="AO62" s="12"/>
      <c r="AP62" s="75">
        <v>1.0</v>
      </c>
      <c r="AQ62" s="76">
        <v>1.63</v>
      </c>
      <c r="AR62" s="77">
        <v>0.071336</v>
      </c>
      <c r="AS62" s="75">
        <v>1425.0</v>
      </c>
      <c r="AT62" s="124">
        <v>0.596</v>
      </c>
      <c r="AU62" s="124">
        <v>0.549</v>
      </c>
      <c r="AV62" s="124">
        <v>0.274</v>
      </c>
      <c r="AW62" s="144">
        <f t="shared" ref="AW62:AW65" si="24">1.55-AV62-0.1</f>
        <v>1.176</v>
      </c>
    </row>
    <row r="63">
      <c r="A63" s="34" t="s">
        <v>93</v>
      </c>
      <c r="B63" s="72" t="s">
        <v>129</v>
      </c>
      <c r="C63" s="36"/>
      <c r="D63" s="37"/>
      <c r="F63" s="34" t="s">
        <v>93</v>
      </c>
      <c r="G63" s="97" t="s">
        <v>130</v>
      </c>
      <c r="H63" s="36"/>
      <c r="I63" s="37"/>
      <c r="N63" s="32" t="s">
        <v>29</v>
      </c>
      <c r="O63" s="25">
        <v>0.495</v>
      </c>
      <c r="Q63" s="32" t="s">
        <v>60</v>
      </c>
      <c r="R63" s="50">
        <f>AH67</f>
        <v>0.08370266667</v>
      </c>
      <c r="S63" s="16">
        <f t="shared" ref="S63:S66" si="25">R63/O62</f>
        <v>1.06989115</v>
      </c>
      <c r="T63" s="21">
        <f t="shared" ref="T63:T66" si="26">O62-R63</f>
        <v>-0.005467916667</v>
      </c>
      <c r="U63" s="32" t="s">
        <v>96</v>
      </c>
      <c r="V63" s="59">
        <v>0.014393749999999999</v>
      </c>
      <c r="X63" s="32" t="s">
        <v>60</v>
      </c>
      <c r="Y63" s="50">
        <f>AR67</f>
        <v>0.0714745</v>
      </c>
      <c r="Z63" s="16">
        <f>Y63/O62</f>
        <v>0.9135901885</v>
      </c>
      <c r="AB63" s="21">
        <f t="shared" ref="AB63:AB66" si="27">Y63-V64</f>
        <v>0.01285575</v>
      </c>
      <c r="AF63" s="75">
        <v>2.0</v>
      </c>
      <c r="AG63" s="76" t="s">
        <v>131</v>
      </c>
      <c r="AH63" s="80">
        <v>0.084204</v>
      </c>
      <c r="AI63" s="80"/>
      <c r="AJ63" s="80"/>
      <c r="AK63" s="125">
        <v>0.555</v>
      </c>
      <c r="AL63" s="125">
        <v>0.309</v>
      </c>
      <c r="AM63" s="125">
        <v>0.541</v>
      </c>
      <c r="AN63" s="144">
        <f t="shared" si="23"/>
        <v>0.909</v>
      </c>
      <c r="AO63" s="12"/>
      <c r="AP63" s="75">
        <v>2.0</v>
      </c>
      <c r="AQ63" s="76">
        <v>1.68</v>
      </c>
      <c r="AR63" s="80">
        <v>0.071465</v>
      </c>
      <c r="AS63" s="80">
        <v>1504.0</v>
      </c>
      <c r="AT63" s="125">
        <v>0.583</v>
      </c>
      <c r="AU63" s="125">
        <v>0.544</v>
      </c>
      <c r="AV63" s="125">
        <v>0.274</v>
      </c>
      <c r="AW63" s="144">
        <f t="shared" si="24"/>
        <v>1.176</v>
      </c>
    </row>
    <row r="64">
      <c r="A64" s="44"/>
      <c r="B64" s="45"/>
      <c r="D64" s="46"/>
      <c r="F64" s="44"/>
      <c r="G64" s="45"/>
      <c r="I64" s="46"/>
      <c r="N64" s="32" t="s">
        <v>30</v>
      </c>
      <c r="O64" s="25">
        <v>0.29</v>
      </c>
      <c r="Q64" s="32" t="s">
        <v>29</v>
      </c>
      <c r="R64" s="41">
        <f>AK67</f>
        <v>0.544</v>
      </c>
      <c r="S64" s="16">
        <f t="shared" si="25"/>
        <v>1.098989899</v>
      </c>
      <c r="T64" s="24">
        <f t="shared" si="26"/>
        <v>-0.049</v>
      </c>
      <c r="U64" s="32" t="s">
        <v>97</v>
      </c>
      <c r="V64" s="59">
        <v>0.05861874999999999</v>
      </c>
      <c r="X64" s="32" t="s">
        <v>29</v>
      </c>
      <c r="Y64" s="41">
        <f>AT67</f>
        <v>0.5883333333</v>
      </c>
      <c r="Z64" s="16">
        <f t="shared" ref="Z64:Z66" si="28">Y64/V65</f>
        <v>1.079510703</v>
      </c>
      <c r="AA64" s="16"/>
      <c r="AB64" s="24">
        <f t="shared" si="27"/>
        <v>0.04333333333</v>
      </c>
      <c r="AF64" s="75">
        <v>3.0</v>
      </c>
      <c r="AG64" s="76">
        <v>1.38</v>
      </c>
      <c r="AH64" s="80">
        <v>0.084711</v>
      </c>
      <c r="AI64" s="80"/>
      <c r="AJ64" s="80"/>
      <c r="AK64" s="125">
        <v>0.533</v>
      </c>
      <c r="AL64" s="125">
        <v>0.321</v>
      </c>
      <c r="AM64" s="125">
        <v>0.541</v>
      </c>
      <c r="AN64" s="144">
        <f t="shared" si="23"/>
        <v>0.909</v>
      </c>
      <c r="AO64" s="12"/>
      <c r="AP64" s="75">
        <v>3.0</v>
      </c>
      <c r="AQ64" s="76">
        <v>1.54</v>
      </c>
      <c r="AR64" s="80">
        <v>0.071624</v>
      </c>
      <c r="AS64" s="80">
        <v>1398.0</v>
      </c>
      <c r="AT64" s="125">
        <v>0.586</v>
      </c>
      <c r="AU64" s="125">
        <v>0.55</v>
      </c>
      <c r="AV64" s="125">
        <v>0.275</v>
      </c>
      <c r="AW64" s="144">
        <f t="shared" si="24"/>
        <v>1.175</v>
      </c>
    </row>
    <row r="65">
      <c r="A65" s="44"/>
      <c r="B65" s="45"/>
      <c r="D65" s="46"/>
      <c r="F65" s="44"/>
      <c r="G65" s="45"/>
      <c r="I65" s="46"/>
      <c r="N65" s="32" t="s">
        <v>31</v>
      </c>
      <c r="O65" s="25">
        <v>0.545</v>
      </c>
      <c r="Q65" s="32" t="s">
        <v>30</v>
      </c>
      <c r="R65" s="41">
        <f>AL67</f>
        <v>0.3136666667</v>
      </c>
      <c r="S65" s="16">
        <f t="shared" si="25"/>
        <v>1.081609195</v>
      </c>
      <c r="T65" s="24">
        <f t="shared" si="26"/>
        <v>-0.02366666667</v>
      </c>
      <c r="U65" s="25" t="s">
        <v>98</v>
      </c>
      <c r="V65" s="25">
        <v>0.545</v>
      </c>
      <c r="X65" s="32" t="s">
        <v>30</v>
      </c>
      <c r="Y65" s="41">
        <f>AU67</f>
        <v>0.5476666667</v>
      </c>
      <c r="Z65" s="16">
        <f t="shared" si="28"/>
        <v>1.106397306</v>
      </c>
      <c r="AA65" s="16"/>
      <c r="AB65" s="24">
        <f t="shared" si="27"/>
        <v>0.05266666667</v>
      </c>
      <c r="AF65" s="75">
        <v>4.0</v>
      </c>
      <c r="AG65" s="76"/>
      <c r="AH65" s="80"/>
      <c r="AI65" s="80"/>
      <c r="AJ65" s="80"/>
      <c r="AK65" s="80"/>
      <c r="AL65" s="80"/>
      <c r="AM65" s="80"/>
      <c r="AN65" s="80"/>
      <c r="AO65" s="12"/>
      <c r="AP65" s="75">
        <v>4.0</v>
      </c>
      <c r="AQ65" s="76">
        <v>1.64</v>
      </c>
      <c r="AR65" s="80">
        <v>0.071473</v>
      </c>
      <c r="AS65" s="80">
        <v>1409.0</v>
      </c>
      <c r="AT65" s="125">
        <v>0.59</v>
      </c>
      <c r="AU65" s="125">
        <v>0.556</v>
      </c>
      <c r="AV65" s="125">
        <v>0.274</v>
      </c>
      <c r="AW65" s="144">
        <f t="shared" si="24"/>
        <v>1.176</v>
      </c>
    </row>
    <row r="66">
      <c r="A66" s="44"/>
      <c r="B66" s="45"/>
      <c r="D66" s="46"/>
      <c r="F66" s="44"/>
      <c r="G66" s="45"/>
      <c r="I66" s="46"/>
      <c r="N66" s="58" t="s">
        <v>61</v>
      </c>
      <c r="O66" s="87">
        <f>1.55-O65-0.1</f>
        <v>0.905</v>
      </c>
      <c r="Q66" s="32" t="s">
        <v>31</v>
      </c>
      <c r="R66" s="41">
        <f>AM67</f>
        <v>0.5403333333</v>
      </c>
      <c r="S66" s="16">
        <f t="shared" si="25"/>
        <v>0.9914373089</v>
      </c>
      <c r="T66" s="24">
        <f t="shared" si="26"/>
        <v>0.004666666667</v>
      </c>
      <c r="U66" s="25" t="s">
        <v>99</v>
      </c>
      <c r="V66" s="25">
        <v>0.495</v>
      </c>
      <c r="X66" s="32" t="s">
        <v>31</v>
      </c>
      <c r="Y66" s="41">
        <f>AV67</f>
        <v>0.2743333333</v>
      </c>
      <c r="Z66" s="16">
        <f t="shared" si="28"/>
        <v>0.9459770115</v>
      </c>
      <c r="AA66" s="16"/>
      <c r="AB66" s="24">
        <f t="shared" si="27"/>
        <v>-0.01566666667</v>
      </c>
      <c r="AF66" s="75">
        <v>5.0</v>
      </c>
      <c r="AG66" s="76"/>
      <c r="AH66" s="80"/>
      <c r="AI66" s="80"/>
      <c r="AJ66" s="80"/>
      <c r="AK66" s="80"/>
      <c r="AL66" s="80"/>
      <c r="AM66" s="80"/>
      <c r="AN66" s="80"/>
      <c r="AO66" s="12"/>
      <c r="AP66" s="75">
        <v>5.0</v>
      </c>
      <c r="AQ66" s="76"/>
      <c r="AR66" s="80"/>
      <c r="AS66" s="80"/>
      <c r="AT66" s="80"/>
      <c r="AU66" s="80"/>
      <c r="AV66" s="80"/>
      <c r="AW66" s="80"/>
    </row>
    <row r="67">
      <c r="A67" s="44"/>
      <c r="B67" s="45"/>
      <c r="D67" s="46"/>
      <c r="F67" s="44"/>
      <c r="G67" s="45"/>
      <c r="I67" s="46"/>
      <c r="Q67" s="32" t="s">
        <v>53</v>
      </c>
      <c r="R67" s="41">
        <f>AI67</f>
        <v>1171</v>
      </c>
      <c r="U67" s="25" t="s">
        <v>100</v>
      </c>
      <c r="V67" s="25">
        <v>0.29</v>
      </c>
      <c r="X67" s="32" t="s">
        <v>53</v>
      </c>
      <c r="Y67" s="41">
        <f>AS67</f>
        <v>1434</v>
      </c>
      <c r="Z67" s="16"/>
      <c r="AA67" s="16"/>
      <c r="AF67" s="73" t="s">
        <v>62</v>
      </c>
      <c r="AG67" s="85">
        <f t="shared" ref="AG67:AI67" si="29">AVERAGEA(AG62:AG65)</f>
        <v>0.8566666667</v>
      </c>
      <c r="AH67" s="86">
        <f t="shared" si="29"/>
        <v>0.08370266667</v>
      </c>
      <c r="AI67" s="85">
        <f t="shared" si="29"/>
        <v>1171</v>
      </c>
      <c r="AJ67" s="85"/>
      <c r="AK67" s="85">
        <f t="shared" ref="AK67:AN67" si="30">AVERAGEA(AK62:AK64)</f>
        <v>0.544</v>
      </c>
      <c r="AL67" s="85">
        <f t="shared" si="30"/>
        <v>0.3136666667</v>
      </c>
      <c r="AM67" s="85">
        <f t="shared" si="30"/>
        <v>0.5403333333</v>
      </c>
      <c r="AN67" s="85">
        <f t="shared" si="30"/>
        <v>0.9096666667</v>
      </c>
      <c r="AO67" s="53"/>
      <c r="AP67" s="73" t="s">
        <v>62</v>
      </c>
      <c r="AQ67" s="85">
        <f t="shared" ref="AQ67:AS67" si="31">AVERAGEA(AQ62:AQ65)</f>
        <v>1.6225</v>
      </c>
      <c r="AR67" s="86">
        <f t="shared" si="31"/>
        <v>0.0714745</v>
      </c>
      <c r="AS67" s="85">
        <f t="shared" si="31"/>
        <v>1434</v>
      </c>
      <c r="AT67" s="85">
        <f t="shared" ref="AT67:AW67" si="32">AVERAGEA(AT62:AT64)</f>
        <v>0.5883333333</v>
      </c>
      <c r="AU67" s="85">
        <f t="shared" si="32"/>
        <v>0.5476666667</v>
      </c>
      <c r="AV67" s="85">
        <f t="shared" si="32"/>
        <v>0.2743333333</v>
      </c>
      <c r="AW67" s="85">
        <f t="shared" si="32"/>
        <v>1.175666667</v>
      </c>
    </row>
    <row r="68">
      <c r="A68" s="44"/>
      <c r="B68" s="45"/>
      <c r="D68" s="46"/>
      <c r="F68" s="44"/>
      <c r="G68" s="45"/>
      <c r="I68" s="46"/>
      <c r="Q68" s="58" t="s">
        <v>61</v>
      </c>
      <c r="R68" s="103">
        <f>AN67</f>
        <v>0.9096666667</v>
      </c>
      <c r="S68" s="16">
        <f>R68/O66</f>
        <v>1.005156538</v>
      </c>
      <c r="T68" s="24">
        <f>O66-R68</f>
        <v>-0.004666666667</v>
      </c>
      <c r="U68" s="58" t="s">
        <v>61</v>
      </c>
      <c r="V68" s="59">
        <f>1.55-V67-0.1</f>
        <v>1.16</v>
      </c>
      <c r="X68" s="58" t="s">
        <v>61</v>
      </c>
      <c r="Y68" s="103">
        <f>AW67</f>
        <v>1.175666667</v>
      </c>
      <c r="Z68" s="16">
        <f>Y68/V68</f>
        <v>1.013505747</v>
      </c>
      <c r="AB68" s="24">
        <f>V68-Y68</f>
        <v>-0.01566666667</v>
      </c>
      <c r="AF68" s="70"/>
      <c r="AG68" s="78"/>
      <c r="AH68" s="78">
        <f>AH67/O62</f>
        <v>1.06989115</v>
      </c>
      <c r="AI68" s="78"/>
      <c r="AJ68" s="78"/>
      <c r="AK68" s="78"/>
      <c r="AL68" s="78"/>
      <c r="AM68" s="78"/>
      <c r="AN68" s="78"/>
      <c r="AP68" s="70"/>
      <c r="AQ68" s="78"/>
      <c r="AR68" s="78">
        <f>AR67/O62</f>
        <v>0.9135901885</v>
      </c>
      <c r="AS68" s="78"/>
      <c r="AT68" s="78"/>
      <c r="AU68" s="78"/>
      <c r="AV68" s="78"/>
      <c r="AW68" s="78"/>
    </row>
    <row r="69">
      <c r="A69" s="44"/>
      <c r="B69" s="45"/>
      <c r="D69" s="46"/>
      <c r="F69" s="44"/>
      <c r="G69" s="45"/>
      <c r="I69" s="46"/>
      <c r="Y69" s="12" t="s">
        <v>93</v>
      </c>
      <c r="Z69" s="12" t="s">
        <v>101</v>
      </c>
      <c r="AA69" s="12" t="s">
        <v>102</v>
      </c>
      <c r="AF69" s="88" t="s">
        <v>63</v>
      </c>
      <c r="AG69" s="78"/>
      <c r="AH69" s="78">
        <f>AH67/V64</f>
        <v>1.427916267</v>
      </c>
      <c r="AI69" s="78"/>
      <c r="AJ69" s="78"/>
      <c r="AK69" s="78">
        <f>AK67/O63</f>
        <v>1.098989899</v>
      </c>
      <c r="AL69" s="78">
        <f>AL67/O64</f>
        <v>1.081609195</v>
      </c>
      <c r="AM69" s="78">
        <f>AM67/O65</f>
        <v>0.9914373089</v>
      </c>
      <c r="AN69" s="78">
        <f>AN67/O66</f>
        <v>1.005156538</v>
      </c>
      <c r="AP69" s="88" t="s">
        <v>63</v>
      </c>
      <c r="AQ69" s="78"/>
      <c r="AR69" s="78">
        <f>AR67/V64</f>
        <v>1.219311227</v>
      </c>
      <c r="AS69" s="78"/>
      <c r="AT69" s="78">
        <f>AT67/V65</f>
        <v>1.079510703</v>
      </c>
      <c r="AU69" s="78">
        <f>AU67/V66</f>
        <v>1.106397306</v>
      </c>
      <c r="AV69" s="78">
        <f>AV67/V67</f>
        <v>0.9459770115</v>
      </c>
      <c r="AW69" s="78">
        <f>AW67/V68</f>
        <v>1.013505747</v>
      </c>
    </row>
    <row r="70">
      <c r="A70" s="65"/>
      <c r="B70" s="66"/>
      <c r="C70" s="67"/>
      <c r="D70" s="68"/>
      <c r="F70" s="65"/>
      <c r="G70" s="66"/>
      <c r="H70" s="67"/>
      <c r="I70" s="68"/>
      <c r="X70" s="12" t="s">
        <v>103</v>
      </c>
      <c r="Z70" s="16">
        <f>R63/V64</f>
        <v>1.427916267</v>
      </c>
      <c r="AA70" s="16">
        <f>Y63/V64</f>
        <v>1.219311227</v>
      </c>
      <c r="AF70" s="88" t="s">
        <v>64</v>
      </c>
      <c r="AG70" s="78"/>
      <c r="AH70" s="78">
        <f>SUM((AH62-$O62)^2,(AH63-$O62)^2,(AH64-$O62)^2)</f>
        <v>0.00009324150269</v>
      </c>
      <c r="AI70" s="78"/>
      <c r="AJ70" s="78"/>
      <c r="AK70" s="78">
        <f>SUM((AK62-$O63)^2,(AK63-$O63)^2,(AK64-$O63)^2)</f>
        <v>0.007445</v>
      </c>
      <c r="AL70" s="78">
        <f>SUM((AL62-$O64)^2,(AL63-$O64)^2,(AL64-$O64)^2)</f>
        <v>0.001763</v>
      </c>
      <c r="AM70" s="78">
        <f>SUM((AM62-$O65)^2,(AM63-$O65)^2,(AM64-$O65)^2)</f>
        <v>0.000068</v>
      </c>
      <c r="AN70" s="78">
        <f>SUM((AN62-$O66)^2,(AN63-$O66)^2,(AN64-$O66)^2)</f>
        <v>0.000068</v>
      </c>
      <c r="AP70" s="88" t="s">
        <v>64</v>
      </c>
      <c r="AQ70" s="78"/>
      <c r="AR70" s="78">
        <f>SUM((AR62-$O62)^2,(AR63-$O62)^2,(AR64-$O62)^2,(AR65-$O62)^2)</f>
        <v>0.0001828455453</v>
      </c>
      <c r="AS70" s="78"/>
      <c r="AT70" s="78">
        <f>SUM((AT62-$V65)^2,(AT63-$V65)^2,(AT64-$V65)^2,(AT65-$V65)^2)</f>
        <v>0.007751</v>
      </c>
      <c r="AU70" s="78">
        <f>SUM((AU62-$V66)^2,(AU63-$V66)^2,(AU64-$V66)^2,(AU65-$V66)^2)</f>
        <v>0.012063</v>
      </c>
      <c r="AV70" s="78">
        <f>SUM((AV62-$V67)^2,(AV63-$V67)^2,(AV64-$V67)^2,(AV65-$V67)^2)</f>
        <v>0.000993</v>
      </c>
      <c r="AW70" s="78">
        <f>SUM((AW62-$V68)^2,(AW63-$V68)^2,(AW64-$V68)^2,(AW65-$V68)^2)</f>
        <v>0.000993</v>
      </c>
    </row>
    <row r="71">
      <c r="N71" s="31"/>
      <c r="O71" s="32" t="s">
        <v>68</v>
      </c>
      <c r="Q71" s="32" t="s">
        <v>43</v>
      </c>
      <c r="R71" s="32" t="s">
        <v>44</v>
      </c>
      <c r="S71" s="3" t="s">
        <v>45</v>
      </c>
      <c r="T71" s="3" t="s">
        <v>46</v>
      </c>
      <c r="U71" s="33" t="s">
        <v>47</v>
      </c>
    </row>
    <row r="72">
      <c r="A72" s="25" t="s">
        <v>39</v>
      </c>
      <c r="B72" s="26" t="s">
        <v>132</v>
      </c>
      <c r="C72" s="27"/>
      <c r="D72" s="28"/>
      <c r="F72" s="105"/>
      <c r="G72" s="106" t="s">
        <v>41</v>
      </c>
      <c r="J72" s="105"/>
      <c r="K72" s="105"/>
      <c r="L72" s="105"/>
      <c r="M72" s="105"/>
      <c r="N72" s="32" t="s">
        <v>105</v>
      </c>
      <c r="O72" s="59">
        <f>0.815*0.415*0.165</f>
        <v>0.055807125</v>
      </c>
      <c r="Q72" s="32" t="s">
        <v>59</v>
      </c>
      <c r="R72" s="41">
        <f>G79</f>
        <v>2.55</v>
      </c>
      <c r="U72" s="42"/>
    </row>
    <row r="73">
      <c r="A73" s="34" t="s">
        <v>106</v>
      </c>
      <c r="B73" s="72" t="s">
        <v>133</v>
      </c>
      <c r="C73" s="36"/>
      <c r="D73" s="37"/>
      <c r="F73" s="107" t="s">
        <v>50</v>
      </c>
      <c r="G73" s="108" t="s">
        <v>51</v>
      </c>
      <c r="H73" s="108" t="s">
        <v>52</v>
      </c>
      <c r="I73" s="108" t="s">
        <v>53</v>
      </c>
      <c r="J73" s="106" t="s">
        <v>54</v>
      </c>
      <c r="K73" s="106" t="s">
        <v>55</v>
      </c>
      <c r="L73" s="106" t="s">
        <v>56</v>
      </c>
      <c r="M73" s="106" t="s">
        <v>123</v>
      </c>
      <c r="N73" s="32" t="s">
        <v>29</v>
      </c>
      <c r="O73" s="25">
        <v>0.815</v>
      </c>
      <c r="Q73" s="32" t="s">
        <v>60</v>
      </c>
      <c r="R73" s="50">
        <f>H79</f>
        <v>0.05417233333</v>
      </c>
      <c r="S73" s="16">
        <f t="shared" ref="S73:S76" si="33">R73/O72</f>
        <v>0.9707063987</v>
      </c>
      <c r="T73" s="21">
        <f t="shared" ref="T73:T76" si="34">O72-R73</f>
        <v>0.001634791667</v>
      </c>
      <c r="U73" s="52">
        <f>(ABS(H74-O72)/O72+ABS(H75-O72)/O72+ABS(H76-O72)/O72)</f>
        <v>0.08788080375</v>
      </c>
    </row>
    <row r="74">
      <c r="A74" s="44"/>
      <c r="B74" s="45"/>
      <c r="D74" s="46"/>
      <c r="F74" s="109">
        <v>1.0</v>
      </c>
      <c r="G74" s="110">
        <v>3.49</v>
      </c>
      <c r="H74" s="140">
        <v>0.053873</v>
      </c>
      <c r="I74" s="109">
        <v>2416.0</v>
      </c>
      <c r="J74" s="112">
        <v>0.895</v>
      </c>
      <c r="K74" s="112">
        <v>0.525</v>
      </c>
      <c r="L74" s="112">
        <v>0.142</v>
      </c>
      <c r="M74" s="113">
        <f t="shared" ref="M74:M76" si="35">1.55-L74-0.1</f>
        <v>1.308</v>
      </c>
      <c r="N74" s="32" t="s">
        <v>30</v>
      </c>
      <c r="O74" s="25">
        <v>0.415</v>
      </c>
      <c r="Q74" s="32" t="s">
        <v>29</v>
      </c>
      <c r="R74" s="41">
        <f>J79</f>
        <v>0.873</v>
      </c>
      <c r="S74" s="16">
        <f t="shared" si="33"/>
        <v>1.071165644</v>
      </c>
      <c r="T74" s="24">
        <f t="shared" si="34"/>
        <v>-0.058</v>
      </c>
    </row>
    <row r="75">
      <c r="A75" s="44"/>
      <c r="B75" s="45"/>
      <c r="D75" s="46"/>
      <c r="F75" s="109">
        <v>2.0</v>
      </c>
      <c r="G75" s="110">
        <v>2.13</v>
      </c>
      <c r="H75" s="115">
        <v>0.054169</v>
      </c>
      <c r="I75" s="115">
        <v>2141.0</v>
      </c>
      <c r="J75" s="112">
        <v>0.873</v>
      </c>
      <c r="K75" s="112">
        <v>0.511</v>
      </c>
      <c r="L75" s="112">
        <v>0.148</v>
      </c>
      <c r="M75" s="113">
        <f t="shared" si="35"/>
        <v>1.302</v>
      </c>
      <c r="N75" s="32" t="s">
        <v>31</v>
      </c>
      <c r="O75" s="25">
        <v>0.165</v>
      </c>
      <c r="Q75" s="32" t="s">
        <v>30</v>
      </c>
      <c r="R75" s="41">
        <f>K79</f>
        <v>0.515</v>
      </c>
      <c r="S75" s="16">
        <f t="shared" si="33"/>
        <v>1.240963855</v>
      </c>
      <c r="T75" s="24">
        <f t="shared" si="34"/>
        <v>-0.1</v>
      </c>
    </row>
    <row r="76">
      <c r="A76" s="44"/>
      <c r="B76" s="45"/>
      <c r="D76" s="46"/>
      <c r="F76" s="109">
        <v>3.0</v>
      </c>
      <c r="G76" s="110">
        <v>2.03</v>
      </c>
      <c r="H76" s="115">
        <v>0.054475</v>
      </c>
      <c r="I76" s="115">
        <v>2088.0</v>
      </c>
      <c r="J76" s="112">
        <v>0.873</v>
      </c>
      <c r="K76" s="112">
        <v>0.519</v>
      </c>
      <c r="L76" s="112">
        <v>0.149</v>
      </c>
      <c r="M76" s="113">
        <f t="shared" si="35"/>
        <v>1.301</v>
      </c>
      <c r="N76" s="58" t="s">
        <v>61</v>
      </c>
      <c r="O76" s="87">
        <f>1.55-O75-0.1</f>
        <v>1.285</v>
      </c>
      <c r="Q76" s="32" t="s">
        <v>31</v>
      </c>
      <c r="R76" s="41">
        <f>L79</f>
        <v>0.1485</v>
      </c>
      <c r="S76" s="16">
        <f t="shared" si="33"/>
        <v>0.9</v>
      </c>
      <c r="T76" s="24">
        <f t="shared" si="34"/>
        <v>0.0165</v>
      </c>
    </row>
    <row r="77">
      <c r="A77" s="44"/>
      <c r="B77" s="45"/>
      <c r="D77" s="46"/>
      <c r="F77" s="109">
        <v>4.0</v>
      </c>
      <c r="G77" s="110"/>
      <c r="H77" s="115"/>
      <c r="I77" s="115"/>
      <c r="J77" s="112"/>
      <c r="K77" s="112"/>
      <c r="L77" s="112"/>
      <c r="M77" s="113"/>
      <c r="Q77" s="32" t="s">
        <v>53</v>
      </c>
      <c r="R77" s="141">
        <f>I79</f>
        <v>2215</v>
      </c>
    </row>
    <row r="78">
      <c r="A78" s="44"/>
      <c r="B78" s="45"/>
      <c r="D78" s="46"/>
      <c r="F78" s="109">
        <v>5.0</v>
      </c>
      <c r="G78" s="110"/>
      <c r="H78" s="115"/>
      <c r="I78" s="115"/>
      <c r="J78" s="119"/>
      <c r="K78" s="119"/>
      <c r="L78" s="119"/>
      <c r="M78" s="119"/>
      <c r="Q78" s="58" t="s">
        <v>61</v>
      </c>
      <c r="R78" s="87">
        <f>M79</f>
        <v>1.3015</v>
      </c>
      <c r="S78" s="16">
        <f>R78/O76</f>
        <v>1.012840467</v>
      </c>
      <c r="T78" s="24">
        <f>O76-R78</f>
        <v>-0.0165</v>
      </c>
    </row>
    <row r="79">
      <c r="A79" s="44"/>
      <c r="B79" s="45"/>
      <c r="D79" s="46"/>
      <c r="F79" s="107" t="s">
        <v>62</v>
      </c>
      <c r="G79" s="120">
        <f t="shared" ref="G79:I79" si="36">AVERAGEA(G74:G77)</f>
        <v>2.55</v>
      </c>
      <c r="H79" s="142">
        <f t="shared" si="36"/>
        <v>0.05417233333</v>
      </c>
      <c r="I79" s="120">
        <f t="shared" si="36"/>
        <v>2215</v>
      </c>
      <c r="J79" s="120">
        <f t="shared" ref="J79:M79" si="37">AVERAGEA(J75:J77)</f>
        <v>0.873</v>
      </c>
      <c r="K79" s="120">
        <f t="shared" si="37"/>
        <v>0.515</v>
      </c>
      <c r="L79" s="120">
        <f t="shared" si="37"/>
        <v>0.1485</v>
      </c>
      <c r="M79" s="120">
        <f t="shared" si="37"/>
        <v>1.3015</v>
      </c>
    </row>
    <row r="80">
      <c r="A80" s="65"/>
      <c r="B80" s="66"/>
      <c r="C80" s="67"/>
      <c r="D80" s="68"/>
      <c r="F80" s="123" t="s">
        <v>63</v>
      </c>
      <c r="G80" s="119"/>
      <c r="H80" s="119">
        <f>H79/O72</f>
        <v>0.9707063987</v>
      </c>
      <c r="I80" s="119"/>
      <c r="J80" s="119">
        <f>J79/O74</f>
        <v>2.103614458</v>
      </c>
      <c r="K80" s="119">
        <f>K79/O75</f>
        <v>3.121212121</v>
      </c>
      <c r="L80" s="119">
        <f>L79/O76</f>
        <v>0.1155642023</v>
      </c>
      <c r="M80" s="119">
        <f>M79/O76</f>
        <v>1.012840467</v>
      </c>
      <c r="N80" s="1" t="s">
        <v>108</v>
      </c>
    </row>
    <row r="81">
      <c r="F81" s="123" t="s">
        <v>64</v>
      </c>
      <c r="G81" s="119"/>
      <c r="H81" s="119">
        <f>SUM((H74-O72)^2,(H75-O72)^2,(H76-O72)^2)</f>
        <v>0.000008198850047</v>
      </c>
      <c r="I81" s="119"/>
      <c r="J81" s="119">
        <f>SUM((J74-$O73)^2,(J75-$O73)^2,(J76-$O73)^2)</f>
        <v>0.013128</v>
      </c>
      <c r="K81" s="119">
        <f>SUM((K74-$O74)^2,(K75-$O74)^2,(K76-$O74)^2)</f>
        <v>0.032132</v>
      </c>
      <c r="L81" s="119">
        <f>SUM((L74-$O75)^2,(L75-$O75)^2,(L76-$O75)^2)</f>
        <v>0.001074</v>
      </c>
      <c r="M81" s="119">
        <f>SUM((M74-$O76)^2,(M75-$O76)^2,(M76-$O76)^2)</f>
        <v>0.001074</v>
      </c>
      <c r="N81" s="3" t="s">
        <v>109</v>
      </c>
      <c r="O81" s="8"/>
      <c r="P81" s="3" t="s">
        <v>110</v>
      </c>
      <c r="Q81" s="8"/>
      <c r="R81" s="8"/>
    </row>
    <row r="82">
      <c r="N82" s="12" t="s">
        <v>111</v>
      </c>
      <c r="O82" s="6">
        <f>AVERAGE(R9,R32,R52,R72)</f>
        <v>1.086041667</v>
      </c>
      <c r="Q82" s="128" t="s">
        <v>20</v>
      </c>
      <c r="S82" s="123" t="s">
        <v>27</v>
      </c>
      <c r="W82" s="129" t="s">
        <v>112</v>
      </c>
      <c r="X82" s="28"/>
    </row>
    <row r="83">
      <c r="N83" s="12" t="s">
        <v>53</v>
      </c>
      <c r="O83" s="6">
        <f>AVERAGE(R14,R37,R57,R77)</f>
        <v>1224.666667</v>
      </c>
      <c r="Q83" s="52"/>
      <c r="S83" s="119"/>
      <c r="T83" s="3" t="s">
        <v>113</v>
      </c>
      <c r="W83" s="130" t="s">
        <v>27</v>
      </c>
      <c r="X83" s="130" t="s">
        <v>20</v>
      </c>
    </row>
    <row r="84">
      <c r="N84" s="12" t="s">
        <v>114</v>
      </c>
      <c r="O84" s="16">
        <f t="shared" ref="O84:P84" si="38">AVERAGE(S10,S33,S53,S73)</f>
        <v>0.9845068016</v>
      </c>
      <c r="P84" s="24">
        <f t="shared" si="38"/>
        <v>0.0007783020833</v>
      </c>
      <c r="Q84" s="131">
        <f>(V10+V33+V52+U73)/13</f>
        <v>0.02267963854</v>
      </c>
      <c r="S84" s="117">
        <f>SQRT(SUM(H17,H39,H61,H81)/13)</f>
        <v>0.001421368771</v>
      </c>
      <c r="T84" s="12" t="s">
        <v>111</v>
      </c>
      <c r="U84" s="6">
        <f t="shared" ref="U84:U89" si="40">AVERAGE(O82,O92)</f>
        <v>1.065</v>
      </c>
      <c r="W84" s="59"/>
      <c r="X84" s="59"/>
    </row>
    <row r="85">
      <c r="N85" s="12" t="s">
        <v>115</v>
      </c>
      <c r="O85" s="16">
        <f t="shared" ref="O85:P85" si="39">AVERAGE(S11,S34,S54,S74)</f>
        <v>1.066912792</v>
      </c>
      <c r="P85" s="6">
        <f t="shared" si="39"/>
        <v>-0.03408333333</v>
      </c>
      <c r="S85" s="133">
        <f>SQRT(SUM(J17,J39,J61,J81)/13)</f>
        <v>0.04156736886</v>
      </c>
      <c r="T85" s="12" t="s">
        <v>53</v>
      </c>
      <c r="U85" s="6">
        <f t="shared" si="40"/>
        <v>1136</v>
      </c>
      <c r="W85" s="59"/>
      <c r="X85" s="59"/>
    </row>
    <row r="86">
      <c r="N86" s="12" t="s">
        <v>116</v>
      </c>
      <c r="O86" s="16">
        <f t="shared" ref="O86:P86" si="41">AVERAGE(S12,S35,S55,S75)</f>
        <v>1.131439429</v>
      </c>
      <c r="P86" s="6">
        <f t="shared" si="41"/>
        <v>-0.0475</v>
      </c>
      <c r="S86" s="133">
        <f>SQRT(SUM(K17,K39,K61,K81)/13)</f>
        <v>0.05730619513</v>
      </c>
      <c r="T86" s="12" t="s">
        <v>114</v>
      </c>
      <c r="U86" s="16">
        <f t="shared" si="40"/>
        <v>0.9639094275</v>
      </c>
      <c r="V86" s="24">
        <f t="shared" ref="V86:V89" si="43">AVERAGE(P84,P94)</f>
        <v>0.002361807292</v>
      </c>
      <c r="W86" s="87">
        <f>SQRT(SUM(H17,H28,H39,H50,H61,AH70,AR70,H81)/27)</f>
        <v>0.004321775901</v>
      </c>
      <c r="X86" s="148">
        <f>(V10+V33+V52+U73+V23+V42+AK60+AU60)/27</f>
        <v>0.06011639247</v>
      </c>
    </row>
    <row r="87">
      <c r="N87" s="12" t="s">
        <v>117</v>
      </c>
      <c r="O87" s="16">
        <f t="shared" ref="O87:P87" si="42">AVERAGE(S13,S36,S56,S76)</f>
        <v>0.9498751959</v>
      </c>
      <c r="P87" s="6">
        <f t="shared" si="42"/>
        <v>0.01370833333</v>
      </c>
      <c r="S87" s="133">
        <f>SQRT(SUM(L17,L39,L61,L81)/13)</f>
        <v>0.02233141974</v>
      </c>
      <c r="T87" s="12" t="s">
        <v>115</v>
      </c>
      <c r="U87" s="16">
        <f t="shared" si="40"/>
        <v>1.055550514</v>
      </c>
      <c r="V87" s="6">
        <f t="shared" si="43"/>
        <v>-0.01741666667</v>
      </c>
      <c r="W87" s="149">
        <f>SQRT(SUM(J17,J28,J39,J50,J61,AK70,AT70,J81)/27)</f>
        <v>0.03975340656</v>
      </c>
      <c r="X87" s="59"/>
    </row>
    <row r="88">
      <c r="N88" s="12" t="s">
        <v>118</v>
      </c>
      <c r="O88" s="16">
        <f t="shared" ref="O88:P88" si="44">AVERAGE(S15,S38,S58,S78)</f>
        <v>1.012269478</v>
      </c>
      <c r="P88" s="6">
        <f t="shared" si="44"/>
        <v>-0.01370833333</v>
      </c>
      <c r="Q88" s="134" t="s">
        <v>119</v>
      </c>
      <c r="S88" s="133">
        <f>SQRT(SUM(M17,M39,M61,M81)/13)</f>
        <v>0.02233141974</v>
      </c>
      <c r="T88" s="12" t="s">
        <v>116</v>
      </c>
      <c r="U88" s="16">
        <f t="shared" si="40"/>
        <v>1.131502724</v>
      </c>
      <c r="V88" s="6">
        <f t="shared" si="43"/>
        <v>-0.02633333333</v>
      </c>
      <c r="W88" s="149">
        <f>SQRT(SUM(K17,K28,K39,K50,K61,AL70,AU70,K81)/27)</f>
        <v>0.05121776312</v>
      </c>
      <c r="X88" s="59"/>
    </row>
    <row r="89">
      <c r="T89" s="12" t="s">
        <v>117</v>
      </c>
      <c r="U89" s="16">
        <f t="shared" si="40"/>
        <v>0.9484763951</v>
      </c>
      <c r="V89" s="6">
        <f t="shared" si="43"/>
        <v>0.008979166667</v>
      </c>
      <c r="W89" s="149">
        <f>SQRT(SUM(L17,L28,L39,L50,L61,AM70,AV70,L81)/27)</f>
        <v>0.01821476812</v>
      </c>
      <c r="X89" s="59"/>
    </row>
    <row r="90">
      <c r="N90" s="1" t="s">
        <v>120</v>
      </c>
      <c r="T90" s="12" t="s">
        <v>118</v>
      </c>
      <c r="U90" s="16">
        <f t="shared" ref="U90:V90" si="45">AVERAGEA(O88,O98)</f>
        <v>1.011250146</v>
      </c>
      <c r="V90" s="6">
        <f t="shared" si="45"/>
        <v>-0.01289583333</v>
      </c>
      <c r="W90" s="149">
        <f>SQRT(SUM(M17,M28,M39,M50,M61,AN70,AW70,M81)/27)</f>
        <v>0.01821476812</v>
      </c>
      <c r="X90" s="59"/>
    </row>
    <row r="91">
      <c r="N91" s="3" t="s">
        <v>109</v>
      </c>
      <c r="O91" s="8"/>
      <c r="P91" s="3" t="s">
        <v>110</v>
      </c>
      <c r="Q91" s="8"/>
    </row>
    <row r="92">
      <c r="N92" s="12" t="s">
        <v>111</v>
      </c>
      <c r="O92" s="6">
        <f>AVERAGE(R22,R41,R62,Y62)</f>
        <v>1.043958333</v>
      </c>
      <c r="Q92" s="135" t="s">
        <v>20</v>
      </c>
      <c r="S92" s="88" t="s">
        <v>27</v>
      </c>
    </row>
    <row r="93">
      <c r="N93" s="12" t="s">
        <v>53</v>
      </c>
      <c r="O93" s="6">
        <f>AVERAGE(R27,R46,R67,Y67)</f>
        <v>1047.333333</v>
      </c>
      <c r="Q93" s="84"/>
      <c r="S93" s="78"/>
    </row>
    <row r="94">
      <c r="N94" s="12" t="s">
        <v>114</v>
      </c>
      <c r="O94" s="16">
        <f t="shared" ref="O94:O97" si="46">AVERAGE(S23,S42,S63,Z63)</f>
        <v>0.9433120535</v>
      </c>
      <c r="P94" s="24">
        <f t="shared" ref="P94:P97" si="47">AVERAGE(T23,T42,T63,AB63)</f>
        <v>0.0039453125</v>
      </c>
      <c r="Q94" s="137">
        <f>(V23+V42+AK60+AU60)/14</f>
        <v>0.09487909254</v>
      </c>
      <c r="S94" s="138">
        <f>SQRT(SUM(H28,H50,AH70,AR70)/14)</f>
        <v>0.005843405367</v>
      </c>
    </row>
    <row r="95">
      <c r="N95" s="12" t="s">
        <v>115</v>
      </c>
      <c r="O95" s="16">
        <f t="shared" si="46"/>
        <v>1.044188237</v>
      </c>
      <c r="P95" s="24">
        <f t="shared" si="47"/>
        <v>-0.00075</v>
      </c>
      <c r="S95" s="138">
        <f>SQRT(SUM(J28,J50,AK70,AT70)/14)</f>
        <v>0.03799154041</v>
      </c>
    </row>
    <row r="96">
      <c r="N96" s="12" t="s">
        <v>116</v>
      </c>
      <c r="O96" s="16">
        <f t="shared" si="46"/>
        <v>1.131566019</v>
      </c>
      <c r="P96" s="24">
        <f t="shared" si="47"/>
        <v>-0.005166666667</v>
      </c>
      <c r="S96" s="138">
        <f>SQRT(SUM(K28,K50,AL70,AU70)/14)</f>
        <v>0.044829837</v>
      </c>
    </row>
    <row r="97">
      <c r="N97" s="12" t="s">
        <v>117</v>
      </c>
      <c r="O97" s="16">
        <f t="shared" si="46"/>
        <v>0.9470775944</v>
      </c>
      <c r="P97" s="24">
        <f t="shared" si="47"/>
        <v>0.00425</v>
      </c>
      <c r="S97" s="138">
        <f>SQRT(SUM(L28,L50,AM70,AV70)/14)</f>
        <v>0.01329607891</v>
      </c>
    </row>
    <row r="98">
      <c r="N98" s="12" t="s">
        <v>118</v>
      </c>
      <c r="O98" s="16">
        <f>AVERAGE(S28,S47,S68,Z68)</f>
        <v>1.010230814</v>
      </c>
      <c r="P98" s="24">
        <f>AVERAGE(T28,T47,T68,AB68)</f>
        <v>-0.01208333333</v>
      </c>
      <c r="S98" s="138">
        <f>SQRT(SUM(M28,M50,AN70,AW70)/14)</f>
        <v>0.01329607891</v>
      </c>
    </row>
    <row r="99">
      <c r="P99" s="6"/>
    </row>
  </sheetData>
  <mergeCells count="39">
    <mergeCell ref="B8:D8"/>
    <mergeCell ref="G8:I8"/>
    <mergeCell ref="W8:Y8"/>
    <mergeCell ref="A9:A16"/>
    <mergeCell ref="B9:D16"/>
    <mergeCell ref="B19:D19"/>
    <mergeCell ref="G19:I19"/>
    <mergeCell ref="A20:A27"/>
    <mergeCell ref="B20:D27"/>
    <mergeCell ref="B30:D30"/>
    <mergeCell ref="B31:D38"/>
    <mergeCell ref="B41:D41"/>
    <mergeCell ref="G30:I30"/>
    <mergeCell ref="G41:I41"/>
    <mergeCell ref="G52:I52"/>
    <mergeCell ref="V60:AB60"/>
    <mergeCell ref="AG60:AI60"/>
    <mergeCell ref="AQ60:AS60"/>
    <mergeCell ref="A31:A38"/>
    <mergeCell ref="A42:A49"/>
    <mergeCell ref="B42:D49"/>
    <mergeCell ref="B52:D52"/>
    <mergeCell ref="A53:A60"/>
    <mergeCell ref="B53:D60"/>
    <mergeCell ref="N60:T60"/>
    <mergeCell ref="B72:D72"/>
    <mergeCell ref="A73:A80"/>
    <mergeCell ref="B73:D80"/>
    <mergeCell ref="N80:R80"/>
    <mergeCell ref="N90:R90"/>
    <mergeCell ref="G72:I72"/>
    <mergeCell ref="W82:X82"/>
    <mergeCell ref="B62:D62"/>
    <mergeCell ref="G62:I62"/>
    <mergeCell ref="A63:A70"/>
    <mergeCell ref="B63:D70"/>
    <mergeCell ref="F63:F70"/>
    <mergeCell ref="G63:I70"/>
    <mergeCell ref="X70:Y7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4.25"/>
    <col customWidth="1" min="15" max="15" width="17.0"/>
    <col customWidth="1" min="17" max="17" width="24.75"/>
    <col customWidth="1" min="19" max="19" width="33.38"/>
    <col customWidth="1" min="20" max="20" width="64.75"/>
    <col customWidth="1" min="21" max="21" width="37.0"/>
    <col customWidth="1" min="22" max="22" width="14.38"/>
    <col customWidth="1" min="23" max="23" width="18.13"/>
    <col customWidth="1" min="24" max="24" width="19.25"/>
  </cols>
  <sheetData>
    <row r="2">
      <c r="A2" s="12" t="s">
        <v>134</v>
      </c>
    </row>
    <row r="6">
      <c r="A6" s="12" t="s">
        <v>135</v>
      </c>
    </row>
    <row r="8">
      <c r="A8" s="25" t="s">
        <v>39</v>
      </c>
      <c r="B8" s="26" t="s">
        <v>40</v>
      </c>
      <c r="C8" s="27"/>
      <c r="D8" s="28"/>
      <c r="F8" s="105"/>
      <c r="G8" s="106" t="s">
        <v>41</v>
      </c>
      <c r="J8" s="105"/>
      <c r="K8" s="105"/>
      <c r="L8" s="105"/>
      <c r="M8" s="105"/>
      <c r="N8" s="31"/>
      <c r="O8" s="32" t="s">
        <v>42</v>
      </c>
      <c r="P8" s="8"/>
      <c r="Q8" s="32" t="s">
        <v>43</v>
      </c>
      <c r="R8" s="32" t="s">
        <v>44</v>
      </c>
      <c r="S8" s="3" t="s">
        <v>45</v>
      </c>
      <c r="T8" s="3" t="s">
        <v>46</v>
      </c>
      <c r="V8" s="33" t="s">
        <v>136</v>
      </c>
      <c r="W8" s="52"/>
    </row>
    <row r="9">
      <c r="A9" s="34" t="s">
        <v>48</v>
      </c>
      <c r="B9" s="72" t="s">
        <v>137</v>
      </c>
      <c r="C9" s="36"/>
      <c r="D9" s="37"/>
      <c r="F9" s="107" t="s">
        <v>50</v>
      </c>
      <c r="G9" s="108" t="s">
        <v>51</v>
      </c>
      <c r="H9" s="108" t="s">
        <v>52</v>
      </c>
      <c r="I9" s="108" t="s">
        <v>53</v>
      </c>
      <c r="J9" s="106" t="s">
        <v>54</v>
      </c>
      <c r="K9" s="106" t="s">
        <v>55</v>
      </c>
      <c r="L9" s="106" t="s">
        <v>56</v>
      </c>
      <c r="M9" s="106" t="s">
        <v>123</v>
      </c>
      <c r="N9" s="32" t="s">
        <v>58</v>
      </c>
      <c r="O9" s="59">
        <f>0.485*0.275*0.495</f>
        <v>0.066020625</v>
      </c>
      <c r="Q9" s="32" t="s">
        <v>59</v>
      </c>
      <c r="R9" s="41">
        <f>G15</f>
        <v>6.213333333</v>
      </c>
      <c r="V9" s="42"/>
      <c r="W9" s="52"/>
    </row>
    <row r="10">
      <c r="A10" s="44"/>
      <c r="B10" s="45"/>
      <c r="D10" s="46"/>
      <c r="F10" s="109">
        <v>1.0</v>
      </c>
      <c r="G10" s="110">
        <v>3.0</v>
      </c>
      <c r="H10" s="140">
        <v>0.063348</v>
      </c>
      <c r="I10" s="109">
        <v>1393.0</v>
      </c>
      <c r="J10" s="112">
        <v>0.54</v>
      </c>
      <c r="K10" s="112">
        <v>0.33</v>
      </c>
      <c r="L10" s="112">
        <v>0.495</v>
      </c>
      <c r="M10" s="113">
        <f t="shared" ref="M10:M12" si="1">1.55-L10-0.1</f>
        <v>0.955</v>
      </c>
      <c r="N10" s="32" t="s">
        <v>29</v>
      </c>
      <c r="O10" s="25">
        <v>0.485</v>
      </c>
      <c r="Q10" s="32" t="s">
        <v>60</v>
      </c>
      <c r="R10" s="50">
        <f>H15</f>
        <v>0.06387433333</v>
      </c>
      <c r="S10" s="16">
        <f t="shared" ref="S10:S13" si="2">R10/O9</f>
        <v>0.9674905885</v>
      </c>
      <c r="T10" s="24">
        <f t="shared" ref="T10:T13" si="3">O9-R10</f>
        <v>0.002146291667</v>
      </c>
      <c r="V10" s="52">
        <f>(ABS(H10-O9)/O9+ABS(H11-O9)/O9+ABS(H12-O9)/O9)</f>
        <v>0.09752823455</v>
      </c>
      <c r="W10" s="52"/>
    </row>
    <row r="11">
      <c r="A11" s="44"/>
      <c r="B11" s="45"/>
      <c r="D11" s="46"/>
      <c r="F11" s="109">
        <v>2.0</v>
      </c>
      <c r="G11" s="110">
        <v>2.7</v>
      </c>
      <c r="H11" s="115">
        <v>0.063816</v>
      </c>
      <c r="I11" s="115">
        <v>1334.0</v>
      </c>
      <c r="J11" s="112">
        <v>0.54</v>
      </c>
      <c r="K11" s="112">
        <v>0.32</v>
      </c>
      <c r="L11" s="112">
        <v>0.495</v>
      </c>
      <c r="M11" s="113">
        <f t="shared" si="1"/>
        <v>0.955</v>
      </c>
      <c r="N11" s="32" t="s">
        <v>30</v>
      </c>
      <c r="O11" s="25">
        <v>0.275</v>
      </c>
      <c r="Q11" s="32" t="s">
        <v>29</v>
      </c>
      <c r="R11" s="25">
        <f>J15</f>
        <v>0.54</v>
      </c>
      <c r="S11" s="16">
        <f t="shared" si="2"/>
        <v>1.113402062</v>
      </c>
      <c r="T11" s="24">
        <f t="shared" si="3"/>
        <v>-0.055</v>
      </c>
    </row>
    <row r="12">
      <c r="A12" s="44"/>
      <c r="B12" s="45"/>
      <c r="D12" s="46"/>
      <c r="F12" s="109">
        <v>3.0</v>
      </c>
      <c r="G12" s="110">
        <v>12.94</v>
      </c>
      <c r="H12" s="115">
        <v>0.064459</v>
      </c>
      <c r="I12" s="115">
        <v>1346.0</v>
      </c>
      <c r="J12" s="112">
        <v>0.54</v>
      </c>
      <c r="K12" s="112">
        <v>0.32</v>
      </c>
      <c r="L12" s="112">
        <v>0.495</v>
      </c>
      <c r="M12" s="113">
        <f t="shared" si="1"/>
        <v>0.955</v>
      </c>
      <c r="N12" s="32" t="s">
        <v>31</v>
      </c>
      <c r="O12" s="150">
        <v>0.5</v>
      </c>
      <c r="Q12" s="32" t="s">
        <v>30</v>
      </c>
      <c r="R12" s="25">
        <f>K15</f>
        <v>0.3233333333</v>
      </c>
      <c r="S12" s="16">
        <f t="shared" si="2"/>
        <v>1.175757576</v>
      </c>
      <c r="T12" s="24">
        <f t="shared" si="3"/>
        <v>-0.04833333333</v>
      </c>
    </row>
    <row r="13">
      <c r="A13" s="44"/>
      <c r="B13" s="45"/>
      <c r="D13" s="46"/>
      <c r="F13" s="109">
        <v>4.0</v>
      </c>
      <c r="G13" s="110"/>
      <c r="H13" s="115"/>
      <c r="I13" s="115"/>
      <c r="J13" s="119"/>
      <c r="K13" s="119"/>
      <c r="L13" s="119"/>
      <c r="M13" s="119"/>
      <c r="N13" s="58" t="s">
        <v>61</v>
      </c>
      <c r="O13" s="87">
        <f>1.55-O12-0.1</f>
        <v>0.95</v>
      </c>
      <c r="Q13" s="32" t="s">
        <v>31</v>
      </c>
      <c r="R13" s="25">
        <f>L15</f>
        <v>0.495</v>
      </c>
      <c r="S13" s="16">
        <f t="shared" si="2"/>
        <v>0.99</v>
      </c>
      <c r="T13" s="24">
        <f t="shared" si="3"/>
        <v>0.005</v>
      </c>
    </row>
    <row r="14">
      <c r="A14" s="44"/>
      <c r="B14" s="45"/>
      <c r="D14" s="46"/>
      <c r="F14" s="109">
        <v>5.0</v>
      </c>
      <c r="G14" s="110"/>
      <c r="H14" s="115"/>
      <c r="I14" s="115"/>
      <c r="J14" s="119"/>
      <c r="K14" s="119"/>
      <c r="L14" s="119"/>
      <c r="M14" s="119"/>
      <c r="Q14" s="32" t="s">
        <v>53</v>
      </c>
      <c r="R14" s="60">
        <f>I15</f>
        <v>1357.666667</v>
      </c>
      <c r="T14" s="24"/>
    </row>
    <row r="15">
      <c r="A15" s="44"/>
      <c r="B15" s="45"/>
      <c r="D15" s="46"/>
      <c r="F15" s="107" t="s">
        <v>62</v>
      </c>
      <c r="G15" s="120">
        <f t="shared" ref="G15:M15" si="4">AVERAGEA(G10:G13)</f>
        <v>6.213333333</v>
      </c>
      <c r="H15" s="142">
        <f t="shared" si="4"/>
        <v>0.06387433333</v>
      </c>
      <c r="I15" s="145">
        <f t="shared" si="4"/>
        <v>1357.666667</v>
      </c>
      <c r="J15" s="119">
        <f t="shared" si="4"/>
        <v>0.54</v>
      </c>
      <c r="K15" s="119">
        <f t="shared" si="4"/>
        <v>0.3233333333</v>
      </c>
      <c r="L15" s="119">
        <f t="shared" si="4"/>
        <v>0.495</v>
      </c>
      <c r="M15" s="119">
        <f t="shared" si="4"/>
        <v>0.955</v>
      </c>
      <c r="Q15" s="58" t="s">
        <v>61</v>
      </c>
      <c r="R15" s="59">
        <f>M15</f>
        <v>0.955</v>
      </c>
      <c r="S15" s="16">
        <f>R15/O13</f>
        <v>1.005263158</v>
      </c>
      <c r="T15" s="24">
        <f>O13-R15</f>
        <v>-0.005</v>
      </c>
      <c r="V15" s="53"/>
    </row>
    <row r="16">
      <c r="A16" s="65"/>
      <c r="B16" s="66"/>
      <c r="C16" s="67"/>
      <c r="D16" s="68"/>
      <c r="F16" s="123" t="s">
        <v>63</v>
      </c>
      <c r="G16" s="109"/>
      <c r="H16" s="109">
        <f>H15/O9</f>
        <v>0.9674905885</v>
      </c>
      <c r="I16" s="109"/>
      <c r="J16" s="119">
        <f>J15/O10</f>
        <v>1.113402062</v>
      </c>
      <c r="K16" s="119">
        <f>K15/O11</f>
        <v>1.175757576</v>
      </c>
      <c r="L16" s="119">
        <f>L15/O12</f>
        <v>0.99</v>
      </c>
      <c r="M16" s="119">
        <f>M15/O13</f>
        <v>1.005263158</v>
      </c>
    </row>
    <row r="17">
      <c r="F17" s="123" t="s">
        <v>64</v>
      </c>
      <c r="G17" s="119"/>
      <c r="H17" s="119">
        <f>SUM((H10-O9)^2,(H11-O9)^2,(H12-O9)^2)</f>
        <v>0.00001444196842</v>
      </c>
      <c r="I17" s="119"/>
      <c r="J17" s="119">
        <f>SUM((J10-$O10)^2,(J11-$O10)^2,(J12-$O10)^2)</f>
        <v>0.009075</v>
      </c>
      <c r="K17" s="119">
        <f>SUM((K10-$O11)^2,(K11-$O11)^2,(K12-$O11)^2)</f>
        <v>0.007075</v>
      </c>
      <c r="L17" s="119">
        <f>SUM((L10-$O12)^2,(L11-$O12)^2,(L12-$O12)^2)</f>
        <v>0.000075</v>
      </c>
      <c r="M17" s="119">
        <f>SUM((M10-$O13)^2,(M11-$O13)^2,(M12-$O13)^2)</f>
        <v>0.000075</v>
      </c>
    </row>
    <row r="18">
      <c r="F18" s="8"/>
    </row>
    <row r="19">
      <c r="A19" s="25" t="s">
        <v>39</v>
      </c>
      <c r="B19" s="26" t="s">
        <v>40</v>
      </c>
      <c r="C19" s="27"/>
      <c r="D19" s="28"/>
      <c r="F19" s="70"/>
      <c r="G19" s="71" t="s">
        <v>65</v>
      </c>
      <c r="J19" s="70"/>
      <c r="K19" s="70"/>
      <c r="L19" s="70"/>
      <c r="M19" s="70"/>
    </row>
    <row r="20">
      <c r="A20" s="34" t="s">
        <v>66</v>
      </c>
      <c r="B20" s="72" t="s">
        <v>138</v>
      </c>
      <c r="C20" s="36"/>
      <c r="D20" s="37"/>
      <c r="F20" s="73" t="s">
        <v>50</v>
      </c>
      <c r="G20" s="74" t="s">
        <v>51</v>
      </c>
      <c r="H20" s="74" t="s">
        <v>52</v>
      </c>
      <c r="I20" s="74" t="s">
        <v>53</v>
      </c>
      <c r="J20" s="71" t="s">
        <v>54</v>
      </c>
      <c r="K20" s="71" t="s">
        <v>55</v>
      </c>
      <c r="L20" s="71" t="s">
        <v>56</v>
      </c>
      <c r="M20" s="71" t="s">
        <v>123</v>
      </c>
    </row>
    <row r="21">
      <c r="A21" s="44"/>
      <c r="B21" s="45"/>
      <c r="D21" s="46"/>
      <c r="F21" s="75">
        <v>1.0</v>
      </c>
      <c r="G21" s="76">
        <v>5.76</v>
      </c>
      <c r="H21" s="77">
        <v>0.034379</v>
      </c>
      <c r="I21" s="75">
        <v>2039.0</v>
      </c>
      <c r="J21" s="124">
        <v>0.52</v>
      </c>
      <c r="K21" s="124">
        <v>0.49</v>
      </c>
      <c r="L21" s="124">
        <v>0.175</v>
      </c>
      <c r="M21" s="144">
        <f t="shared" ref="M21:M23" si="5">1.55-L21-0.1</f>
        <v>1.275</v>
      </c>
      <c r="N21" s="59"/>
      <c r="O21" s="25" t="s">
        <v>68</v>
      </c>
      <c r="Q21" s="32" t="s">
        <v>43</v>
      </c>
      <c r="R21" s="32" t="s">
        <v>44</v>
      </c>
      <c r="S21" s="3" t="s">
        <v>45</v>
      </c>
      <c r="T21" s="3" t="s">
        <v>46</v>
      </c>
      <c r="V21" s="33" t="s">
        <v>136</v>
      </c>
      <c r="W21" s="52"/>
    </row>
    <row r="22">
      <c r="A22" s="44"/>
      <c r="B22" s="45"/>
      <c r="D22" s="46"/>
      <c r="F22" s="75">
        <v>2.0</v>
      </c>
      <c r="G22" s="76">
        <v>7.02</v>
      </c>
      <c r="H22" s="80">
        <v>0.034176</v>
      </c>
      <c r="I22" s="80">
        <v>2004.0</v>
      </c>
      <c r="J22" s="124">
        <v>0.51</v>
      </c>
      <c r="K22" s="124">
        <v>0.48</v>
      </c>
      <c r="L22" s="124">
        <v>0.18</v>
      </c>
      <c r="M22" s="144">
        <f t="shared" si="5"/>
        <v>1.27</v>
      </c>
      <c r="N22" s="32" t="s">
        <v>69</v>
      </c>
      <c r="O22" s="59">
        <f>0.44*0.46*0.21</f>
        <v>0.042504</v>
      </c>
      <c r="Q22" s="32" t="s">
        <v>59</v>
      </c>
      <c r="R22" s="41">
        <f>G26</f>
        <v>5.706666667</v>
      </c>
      <c r="V22" s="81"/>
      <c r="W22" s="84"/>
    </row>
    <row r="23">
      <c r="A23" s="44"/>
      <c r="B23" s="45"/>
      <c r="D23" s="46"/>
      <c r="F23" s="75">
        <v>3.0</v>
      </c>
      <c r="G23" s="76">
        <v>4.34</v>
      </c>
      <c r="H23" s="80">
        <v>0.034008</v>
      </c>
      <c r="I23" s="80">
        <v>1971.0</v>
      </c>
      <c r="J23" s="124">
        <v>0.51</v>
      </c>
      <c r="K23" s="124">
        <v>0.48</v>
      </c>
      <c r="L23" s="124">
        <v>0.179</v>
      </c>
      <c r="M23" s="144">
        <f t="shared" si="5"/>
        <v>1.271</v>
      </c>
      <c r="N23" s="32" t="s">
        <v>29</v>
      </c>
      <c r="O23" s="25">
        <v>0.46</v>
      </c>
      <c r="Q23" s="32" t="s">
        <v>60</v>
      </c>
      <c r="R23" s="50">
        <f>H26</f>
        <v>0.03418766667</v>
      </c>
      <c r="S23" s="16">
        <f t="shared" ref="S23:S26" si="6">R23/O22</f>
        <v>0.8043399837</v>
      </c>
      <c r="T23" s="24">
        <f t="shared" ref="T23:T26" si="7">O22-R23</f>
        <v>0.008316333333</v>
      </c>
      <c r="V23" s="84">
        <f>(ABS(H21-O22)/O22+ABS(H22-O22)/O22+ABS(H23-O22)/O22)</f>
        <v>0.5869800489</v>
      </c>
      <c r="W23" s="84"/>
    </row>
    <row r="24">
      <c r="A24" s="44"/>
      <c r="B24" s="45"/>
      <c r="D24" s="46"/>
      <c r="F24" s="75">
        <v>4.0</v>
      </c>
      <c r="G24" s="76"/>
      <c r="H24" s="80"/>
      <c r="I24" s="80"/>
      <c r="J24" s="78"/>
      <c r="K24" s="78"/>
      <c r="L24" s="78"/>
      <c r="M24" s="78"/>
      <c r="N24" s="32" t="s">
        <v>30</v>
      </c>
      <c r="O24" s="25">
        <v>0.44</v>
      </c>
      <c r="Q24" s="32" t="s">
        <v>29</v>
      </c>
      <c r="R24" s="25">
        <f>J26</f>
        <v>0.5133333333</v>
      </c>
      <c r="S24" s="16">
        <f t="shared" si="6"/>
        <v>1.115942029</v>
      </c>
      <c r="T24" s="24">
        <f t="shared" si="7"/>
        <v>-0.05333333333</v>
      </c>
    </row>
    <row r="25">
      <c r="A25" s="44"/>
      <c r="B25" s="45"/>
      <c r="D25" s="46"/>
      <c r="F25" s="75">
        <v>5.0</v>
      </c>
      <c r="G25" s="76"/>
      <c r="H25" s="80"/>
      <c r="I25" s="80"/>
      <c r="J25" s="78"/>
      <c r="K25" s="78"/>
      <c r="L25" s="78"/>
      <c r="M25" s="78"/>
      <c r="N25" s="32" t="s">
        <v>31</v>
      </c>
      <c r="O25" s="25">
        <v>0.21</v>
      </c>
      <c r="Q25" s="32" t="s">
        <v>30</v>
      </c>
      <c r="R25" s="25">
        <f>K26</f>
        <v>0.4833333333</v>
      </c>
      <c r="S25" s="16">
        <f t="shared" si="6"/>
        <v>1.098484848</v>
      </c>
      <c r="T25" s="24">
        <f t="shared" si="7"/>
        <v>-0.04333333333</v>
      </c>
    </row>
    <row r="26">
      <c r="A26" s="44"/>
      <c r="B26" s="45"/>
      <c r="D26" s="46"/>
      <c r="F26" s="73" t="s">
        <v>62</v>
      </c>
      <c r="G26" s="85">
        <f t="shared" ref="G26:I26" si="8">AVERAGEA(G21:G24)</f>
        <v>5.706666667</v>
      </c>
      <c r="H26" s="151">
        <f t="shared" si="8"/>
        <v>0.03418766667</v>
      </c>
      <c r="I26" s="152">
        <f t="shared" si="8"/>
        <v>2004.666667</v>
      </c>
      <c r="J26" s="78">
        <f t="shared" ref="J26:M26" si="9">AVERAGEA(J21:J23)</f>
        <v>0.5133333333</v>
      </c>
      <c r="K26" s="78">
        <f t="shared" si="9"/>
        <v>0.4833333333</v>
      </c>
      <c r="L26" s="78">
        <f t="shared" si="9"/>
        <v>0.178</v>
      </c>
      <c r="M26" s="78">
        <f t="shared" si="9"/>
        <v>1.272</v>
      </c>
      <c r="N26" s="58" t="s">
        <v>61</v>
      </c>
      <c r="O26" s="87">
        <f>1.55-O25-0.1</f>
        <v>1.24</v>
      </c>
      <c r="Q26" s="32" t="s">
        <v>31</v>
      </c>
      <c r="R26" s="25">
        <f>L26</f>
        <v>0.178</v>
      </c>
      <c r="S26" s="16">
        <f t="shared" si="6"/>
        <v>0.8476190476</v>
      </c>
      <c r="T26" s="24">
        <f t="shared" si="7"/>
        <v>0.032</v>
      </c>
    </row>
    <row r="27">
      <c r="A27" s="65"/>
      <c r="B27" s="66"/>
      <c r="C27" s="67"/>
      <c r="D27" s="68"/>
      <c r="F27" s="88" t="s">
        <v>63</v>
      </c>
      <c r="G27" s="78"/>
      <c r="H27" s="78">
        <f>H26/O22</f>
        <v>0.8043399837</v>
      </c>
      <c r="I27" s="78"/>
      <c r="J27" s="78">
        <f>J26/O23</f>
        <v>1.115942029</v>
      </c>
      <c r="K27" s="78">
        <f>K26/O24</f>
        <v>1.098484848</v>
      </c>
      <c r="L27" s="78">
        <f>L26/O25</f>
        <v>0.8476190476</v>
      </c>
      <c r="M27" s="78">
        <f>M26/O26</f>
        <v>1.025806452</v>
      </c>
      <c r="Q27" s="32" t="s">
        <v>53</v>
      </c>
      <c r="R27" s="60">
        <f>I26</f>
        <v>2004.666667</v>
      </c>
      <c r="T27" s="24"/>
    </row>
    <row r="28">
      <c r="F28" s="88" t="s">
        <v>64</v>
      </c>
      <c r="G28" s="78"/>
      <c r="H28" s="78">
        <f>SUM((H21-$O22)^2,(H22-$O22)^2,(H23-$O22)^2)</f>
        <v>0.000207553225</v>
      </c>
      <c r="I28" s="78"/>
      <c r="J28" s="78">
        <f>SUM((J21-$O23)^2,(J22-$O23)^2,(J23-$O23)^2)</f>
        <v>0.0086</v>
      </c>
      <c r="K28" s="78">
        <f>SUM((K21-$O24)^2,(K22-$O24)^2,(K23-$O24)^2)</f>
        <v>0.0057</v>
      </c>
      <c r="L28" s="78">
        <f>SUM((L21-$O25)^2,(L22-$O25)^2,(L23-$O25)^2)</f>
        <v>0.003086</v>
      </c>
      <c r="M28" s="78">
        <f>SUM((M21-$O26)^2,(M22-$O26)^2,(M23-$O26)^2)</f>
        <v>0.003086</v>
      </c>
      <c r="Q28" s="58" t="s">
        <v>61</v>
      </c>
      <c r="R28" s="59">
        <f>M26</f>
        <v>1.272</v>
      </c>
      <c r="S28" s="16">
        <f>R28/O26</f>
        <v>1.025806452</v>
      </c>
      <c r="T28" s="24">
        <f>O26-R28</f>
        <v>-0.032</v>
      </c>
    </row>
    <row r="29">
      <c r="Q29" s="3"/>
      <c r="S29" s="16"/>
      <c r="T29" s="24"/>
    </row>
    <row r="30">
      <c r="A30" s="25" t="s">
        <v>39</v>
      </c>
      <c r="B30" s="26" t="s">
        <v>40</v>
      </c>
      <c r="C30" s="27"/>
      <c r="D30" s="28"/>
      <c r="F30" s="105"/>
      <c r="G30" s="106" t="s">
        <v>70</v>
      </c>
      <c r="J30" s="105"/>
      <c r="K30" s="105"/>
      <c r="L30" s="105"/>
      <c r="M30" s="105"/>
    </row>
    <row r="31">
      <c r="A31" s="34" t="s">
        <v>71</v>
      </c>
      <c r="B31" s="72" t="s">
        <v>139</v>
      </c>
      <c r="C31" s="36"/>
      <c r="D31" s="37"/>
      <c r="F31" s="107" t="s">
        <v>50</v>
      </c>
      <c r="G31" s="108" t="s">
        <v>51</v>
      </c>
      <c r="H31" s="108" t="s">
        <v>52</v>
      </c>
      <c r="I31" s="108" t="s">
        <v>53</v>
      </c>
      <c r="J31" s="106" t="s">
        <v>54</v>
      </c>
      <c r="K31" s="106" t="s">
        <v>55</v>
      </c>
      <c r="L31" s="106" t="s">
        <v>56</v>
      </c>
      <c r="M31" s="106" t="s">
        <v>123</v>
      </c>
      <c r="N31" s="31"/>
      <c r="O31" s="32" t="s">
        <v>68</v>
      </c>
      <c r="P31" s="8"/>
      <c r="Q31" s="32" t="s">
        <v>43</v>
      </c>
      <c r="R31" s="32" t="s">
        <v>44</v>
      </c>
      <c r="S31" s="3" t="s">
        <v>45</v>
      </c>
      <c r="T31" s="3" t="s">
        <v>46</v>
      </c>
      <c r="V31" s="33" t="s">
        <v>136</v>
      </c>
      <c r="W31" s="52"/>
    </row>
    <row r="32">
      <c r="A32" s="44"/>
      <c r="B32" s="45"/>
      <c r="D32" s="46"/>
      <c r="F32" s="109">
        <v>1.0</v>
      </c>
      <c r="G32" s="110">
        <v>10.54</v>
      </c>
      <c r="H32" s="140">
        <v>0.128023</v>
      </c>
      <c r="I32" s="109">
        <v>2730.0</v>
      </c>
      <c r="J32" s="112">
        <v>0.57</v>
      </c>
      <c r="K32" s="112">
        <v>0.56</v>
      </c>
      <c r="L32" s="112">
        <v>0.492</v>
      </c>
      <c r="M32" s="113">
        <f t="shared" ref="M32:M34" si="10">1.55-L32-0.1</f>
        <v>0.958</v>
      </c>
      <c r="N32" s="32" t="s">
        <v>73</v>
      </c>
      <c r="O32" s="59">
        <f>0.505*0.505*0.505</f>
        <v>0.128787625</v>
      </c>
      <c r="Q32" s="32" t="s">
        <v>59</v>
      </c>
      <c r="R32" s="150">
        <f>G37</f>
        <v>11.74333333</v>
      </c>
      <c r="V32" s="42"/>
      <c r="W32" s="52"/>
    </row>
    <row r="33">
      <c r="A33" s="44"/>
      <c r="B33" s="45"/>
      <c r="D33" s="46"/>
      <c r="F33" s="109">
        <v>2.0</v>
      </c>
      <c r="G33" s="110">
        <v>13.43</v>
      </c>
      <c r="H33" s="115">
        <v>0.128036</v>
      </c>
      <c r="I33" s="115">
        <v>2757.0</v>
      </c>
      <c r="J33" s="112">
        <v>0.57</v>
      </c>
      <c r="K33" s="112">
        <v>0.55</v>
      </c>
      <c r="L33" s="112">
        <v>0.492</v>
      </c>
      <c r="M33" s="113">
        <f t="shared" si="10"/>
        <v>0.958</v>
      </c>
      <c r="N33" s="32" t="s">
        <v>29</v>
      </c>
      <c r="O33" s="25">
        <v>0.505</v>
      </c>
      <c r="Q33" s="32" t="s">
        <v>60</v>
      </c>
      <c r="R33" s="50">
        <f>H37</f>
        <v>0.1280073333</v>
      </c>
      <c r="S33" s="16">
        <f t="shared" ref="S33:S36" si="11">R33/O32</f>
        <v>0.9939412528</v>
      </c>
      <c r="T33" s="24">
        <f t="shared" ref="T33:T36" si="12">O32-R33</f>
        <v>0.0007802916667</v>
      </c>
      <c r="V33" s="52">
        <f>(ABS(H32-O32)/O32+ABS(H33-O32)/O32+ABS(H34-O32)/O32)</f>
        <v>0.0181762417</v>
      </c>
      <c r="W33" s="52"/>
    </row>
    <row r="34">
      <c r="A34" s="44"/>
      <c r="B34" s="45"/>
      <c r="D34" s="46"/>
      <c r="F34" s="109">
        <v>3.0</v>
      </c>
      <c r="G34" s="110">
        <v>11.26</v>
      </c>
      <c r="H34" s="115">
        <v>0.127963</v>
      </c>
      <c r="I34" s="115"/>
      <c r="J34" s="112">
        <v>0.57</v>
      </c>
      <c r="K34" s="112">
        <v>0.55</v>
      </c>
      <c r="L34" s="112">
        <v>0.492</v>
      </c>
      <c r="M34" s="113">
        <f t="shared" si="10"/>
        <v>0.958</v>
      </c>
      <c r="N34" s="32" t="s">
        <v>30</v>
      </c>
      <c r="O34" s="25">
        <v>0.505</v>
      </c>
      <c r="Q34" s="32" t="s">
        <v>29</v>
      </c>
      <c r="R34" s="25">
        <f>J37</f>
        <v>0.57</v>
      </c>
      <c r="S34" s="16">
        <f t="shared" si="11"/>
        <v>1.128712871</v>
      </c>
      <c r="T34" s="24">
        <f t="shared" si="12"/>
        <v>-0.065</v>
      </c>
    </row>
    <row r="35">
      <c r="A35" s="44"/>
      <c r="B35" s="45"/>
      <c r="D35" s="46"/>
      <c r="F35" s="109">
        <v>4.0</v>
      </c>
      <c r="G35" s="110"/>
      <c r="H35" s="115"/>
      <c r="I35" s="115"/>
      <c r="J35" s="119"/>
      <c r="K35" s="119"/>
      <c r="L35" s="119"/>
      <c r="M35" s="119"/>
      <c r="N35" s="32" t="s">
        <v>31</v>
      </c>
      <c r="O35" s="25">
        <v>0.505</v>
      </c>
      <c r="Q35" s="32" t="s">
        <v>30</v>
      </c>
      <c r="R35" s="25">
        <f>K37</f>
        <v>0.5533333333</v>
      </c>
      <c r="S35" s="16">
        <f t="shared" si="11"/>
        <v>1.095709571</v>
      </c>
      <c r="T35" s="24">
        <f t="shared" si="12"/>
        <v>-0.04833333333</v>
      </c>
    </row>
    <row r="36">
      <c r="A36" s="44"/>
      <c r="B36" s="45"/>
      <c r="D36" s="46"/>
      <c r="F36" s="109">
        <v>5.0</v>
      </c>
      <c r="G36" s="110"/>
      <c r="H36" s="115"/>
      <c r="I36" s="115"/>
      <c r="J36" s="119"/>
      <c r="K36" s="119"/>
      <c r="L36" s="119"/>
      <c r="M36" s="119"/>
      <c r="N36" s="58" t="s">
        <v>61</v>
      </c>
      <c r="O36" s="87">
        <f>1.55-O35-0.1</f>
        <v>0.945</v>
      </c>
      <c r="Q36" s="32" t="s">
        <v>31</v>
      </c>
      <c r="R36" s="25">
        <f>L37</f>
        <v>0.492</v>
      </c>
      <c r="S36" s="16">
        <f t="shared" si="11"/>
        <v>0.9742574257</v>
      </c>
      <c r="T36" s="24">
        <f t="shared" si="12"/>
        <v>0.013</v>
      </c>
    </row>
    <row r="37">
      <c r="A37" s="44"/>
      <c r="B37" s="45"/>
      <c r="D37" s="46"/>
      <c r="F37" s="107" t="s">
        <v>62</v>
      </c>
      <c r="G37" s="153">
        <f t="shared" ref="G37:I37" si="13">AVERAGEA(G32:G35)</f>
        <v>11.74333333</v>
      </c>
      <c r="H37" s="142">
        <f t="shared" si="13"/>
        <v>0.1280073333</v>
      </c>
      <c r="I37" s="145">
        <f t="shared" si="13"/>
        <v>2743.5</v>
      </c>
      <c r="J37" s="119">
        <f t="shared" ref="J37:M37" si="14">AVERAGEA(J32:J34)</f>
        <v>0.57</v>
      </c>
      <c r="K37" s="119">
        <f t="shared" si="14"/>
        <v>0.5533333333</v>
      </c>
      <c r="L37" s="119">
        <f t="shared" si="14"/>
        <v>0.492</v>
      </c>
      <c r="M37" s="119">
        <f t="shared" si="14"/>
        <v>0.958</v>
      </c>
      <c r="Q37" s="32" t="s">
        <v>53</v>
      </c>
      <c r="R37" s="60">
        <f>I37</f>
        <v>2743.5</v>
      </c>
      <c r="T37" s="24"/>
    </row>
    <row r="38">
      <c r="A38" s="65"/>
      <c r="B38" s="66"/>
      <c r="C38" s="67"/>
      <c r="D38" s="68"/>
      <c r="F38" s="123" t="s">
        <v>63</v>
      </c>
      <c r="G38" s="119"/>
      <c r="H38" s="119">
        <f>H37/O32</f>
        <v>0.9939412528</v>
      </c>
      <c r="I38" s="119"/>
      <c r="J38" s="119">
        <f>J37/O33</f>
        <v>1.128712871</v>
      </c>
      <c r="K38" s="119">
        <f>K37/O34</f>
        <v>1.095709571</v>
      </c>
      <c r="L38" s="119">
        <f>L37/O35</f>
        <v>0.9742574257</v>
      </c>
      <c r="M38" s="119">
        <f>M37/O36</f>
        <v>1.013756614</v>
      </c>
      <c r="Q38" s="58" t="s">
        <v>61</v>
      </c>
      <c r="R38" s="59">
        <f>M37</f>
        <v>0.958</v>
      </c>
      <c r="S38" s="16">
        <f>R38/O36</f>
        <v>1.013756614</v>
      </c>
      <c r="T38" s="24">
        <f>O36-R38</f>
        <v>-0.013</v>
      </c>
    </row>
    <row r="39">
      <c r="A39" s="53"/>
      <c r="B39" s="96"/>
      <c r="C39" s="96"/>
      <c r="D39" s="96"/>
      <c r="F39" s="123" t="s">
        <v>64</v>
      </c>
      <c r="G39" s="119"/>
      <c r="H39" s="119">
        <f>SUM((H32-O32)^2,(H33-O32)^2,(H34-O32)^2)</f>
        <v>0.000001829597922</v>
      </c>
      <c r="I39" s="119"/>
      <c r="J39" s="119">
        <f>SUM((J32-$O33)^2,(J33-$O33)^2,(J34-$O33)^2)</f>
        <v>0.012675</v>
      </c>
      <c r="K39" s="119">
        <f>SUM((K32-$O34)^2,(K33-$O34)^2,(K34-$O34)^2)</f>
        <v>0.007075</v>
      </c>
      <c r="L39" s="119">
        <f>SUM((L32-$O35)^2,(L33-$O35)^2,(L34-$O35)^2)</f>
        <v>0.000507</v>
      </c>
      <c r="M39" s="119">
        <f>SUM((M32-$O36)^2,(M33-$O36)^2,(M34-$O36)^2)</f>
        <v>0.000507</v>
      </c>
    </row>
    <row r="40">
      <c r="F40" s="119"/>
      <c r="G40" s="119"/>
      <c r="H40" s="119"/>
      <c r="I40" s="119"/>
      <c r="J40" s="119"/>
      <c r="K40" s="119"/>
      <c r="L40" s="119"/>
      <c r="M40" s="119"/>
      <c r="N40" s="59"/>
      <c r="O40" s="32" t="s">
        <v>68</v>
      </c>
      <c r="P40" s="8"/>
      <c r="Q40" s="32" t="s">
        <v>43</v>
      </c>
      <c r="R40" s="32" t="s">
        <v>44</v>
      </c>
      <c r="S40" s="3" t="s">
        <v>45</v>
      </c>
      <c r="T40" s="3" t="s">
        <v>46</v>
      </c>
      <c r="V40" s="33" t="s">
        <v>136</v>
      </c>
      <c r="W40" s="52"/>
    </row>
    <row r="41">
      <c r="A41" s="25" t="s">
        <v>39</v>
      </c>
      <c r="B41" s="26" t="s">
        <v>40</v>
      </c>
      <c r="C41" s="27"/>
      <c r="D41" s="28"/>
      <c r="F41" s="70"/>
      <c r="G41" s="71" t="s">
        <v>74</v>
      </c>
      <c r="J41" s="70"/>
      <c r="K41" s="70"/>
      <c r="L41" s="70"/>
      <c r="M41" s="70"/>
      <c r="N41" s="32" t="s">
        <v>75</v>
      </c>
      <c r="O41" s="59">
        <f>0.51*0.16*0.155</f>
        <v>0.012648</v>
      </c>
      <c r="Q41" s="32" t="s">
        <v>59</v>
      </c>
      <c r="R41" s="41">
        <f>G48</f>
        <v>5.343333333</v>
      </c>
      <c r="V41" s="81"/>
      <c r="W41" s="84"/>
    </row>
    <row r="42">
      <c r="A42" s="34" t="s">
        <v>76</v>
      </c>
      <c r="B42" s="72" t="s">
        <v>140</v>
      </c>
      <c r="C42" s="36"/>
      <c r="D42" s="37"/>
      <c r="F42" s="73" t="s">
        <v>50</v>
      </c>
      <c r="G42" s="74" t="s">
        <v>51</v>
      </c>
      <c r="H42" s="74" t="s">
        <v>52</v>
      </c>
      <c r="I42" s="74" t="s">
        <v>53</v>
      </c>
      <c r="J42" s="71" t="s">
        <v>54</v>
      </c>
      <c r="K42" s="71" t="s">
        <v>55</v>
      </c>
      <c r="L42" s="71" t="s">
        <v>56</v>
      </c>
      <c r="M42" s="71" t="s">
        <v>123</v>
      </c>
      <c r="N42" s="32" t="s">
        <v>29</v>
      </c>
      <c r="O42" s="25">
        <v>0.51</v>
      </c>
      <c r="Q42" s="32" t="s">
        <v>60</v>
      </c>
      <c r="R42" s="50">
        <f>H48</f>
        <v>0.012085</v>
      </c>
      <c r="S42" s="16">
        <f t="shared" ref="S42:S45" si="15">R42/O41</f>
        <v>0.9554870335</v>
      </c>
      <c r="T42" s="24">
        <f t="shared" ref="T42:T45" si="16">O41-R42</f>
        <v>0.000563</v>
      </c>
      <c r="V42" s="84">
        <f>(ABS(H43-O41)/O41+ABS(H44-O41)/O41+ABS(H45-O41)/O41)</f>
        <v>0.1335388994</v>
      </c>
      <c r="W42" s="84"/>
    </row>
    <row r="43">
      <c r="A43" s="44"/>
      <c r="B43" s="45"/>
      <c r="D43" s="46"/>
      <c r="F43" s="75">
        <v>1.0</v>
      </c>
      <c r="G43" s="76">
        <v>1.28</v>
      </c>
      <c r="H43" s="77">
        <v>0.012001</v>
      </c>
      <c r="I43" s="75">
        <v>852.0</v>
      </c>
      <c r="J43" s="124">
        <v>0.54</v>
      </c>
      <c r="K43" s="124">
        <v>0.28</v>
      </c>
      <c r="L43" s="124">
        <v>0.147</v>
      </c>
      <c r="M43" s="144">
        <f t="shared" ref="M43:M45" si="17">1.55-L43-0.1</f>
        <v>1.303</v>
      </c>
      <c r="N43" s="32" t="s">
        <v>30</v>
      </c>
      <c r="O43" s="25">
        <v>0.16</v>
      </c>
      <c r="Q43" s="32" t="s">
        <v>29</v>
      </c>
      <c r="R43" s="25">
        <f>J48</f>
        <v>0.54</v>
      </c>
      <c r="S43" s="16">
        <f t="shared" si="15"/>
        <v>1.058823529</v>
      </c>
      <c r="T43" s="24">
        <f t="shared" si="16"/>
        <v>-0.03</v>
      </c>
    </row>
    <row r="44">
      <c r="A44" s="44"/>
      <c r="B44" s="45"/>
      <c r="D44" s="46"/>
      <c r="F44" s="75">
        <v>2.0</v>
      </c>
      <c r="G44" s="76">
        <v>1.3</v>
      </c>
      <c r="H44" s="80">
        <v>0.011919</v>
      </c>
      <c r="I44" s="80">
        <v>836.0</v>
      </c>
      <c r="J44" s="124">
        <v>0.54</v>
      </c>
      <c r="K44" s="124">
        <v>0.28</v>
      </c>
      <c r="L44" s="124">
        <v>0.148</v>
      </c>
      <c r="M44" s="144">
        <f t="shared" si="17"/>
        <v>1.302</v>
      </c>
      <c r="N44" s="32" t="s">
        <v>31</v>
      </c>
      <c r="O44" s="25">
        <v>0.155</v>
      </c>
      <c r="Q44" s="32" t="s">
        <v>30</v>
      </c>
      <c r="R44" s="25">
        <f>K48</f>
        <v>0.28</v>
      </c>
      <c r="S44" s="16">
        <f t="shared" si="15"/>
        <v>1.75</v>
      </c>
      <c r="T44" s="24">
        <f t="shared" si="16"/>
        <v>-0.12</v>
      </c>
    </row>
    <row r="45">
      <c r="A45" s="44"/>
      <c r="B45" s="45"/>
      <c r="D45" s="46"/>
      <c r="F45" s="75">
        <v>3.0</v>
      </c>
      <c r="G45" s="76">
        <v>13.45</v>
      </c>
      <c r="H45" s="80">
        <v>0.012335</v>
      </c>
      <c r="I45" s="80">
        <v>862.0</v>
      </c>
      <c r="J45" s="124">
        <v>0.54</v>
      </c>
      <c r="K45" s="124">
        <v>0.28</v>
      </c>
      <c r="L45" s="124">
        <v>0.149</v>
      </c>
      <c r="M45" s="144">
        <f t="shared" si="17"/>
        <v>1.301</v>
      </c>
      <c r="N45" s="58" t="s">
        <v>61</v>
      </c>
      <c r="O45" s="87">
        <f>1.55-O44-0.1</f>
        <v>1.295</v>
      </c>
      <c r="Q45" s="32" t="s">
        <v>31</v>
      </c>
      <c r="R45" s="25">
        <f>L48</f>
        <v>0.148</v>
      </c>
      <c r="S45" s="16">
        <f t="shared" si="15"/>
        <v>0.9548387097</v>
      </c>
      <c r="T45" s="24">
        <f t="shared" si="16"/>
        <v>0.007</v>
      </c>
    </row>
    <row r="46">
      <c r="A46" s="44"/>
      <c r="B46" s="45"/>
      <c r="D46" s="46"/>
      <c r="F46" s="75">
        <v>4.0</v>
      </c>
      <c r="G46" s="76"/>
      <c r="H46" s="80"/>
      <c r="I46" s="80"/>
      <c r="J46" s="78"/>
      <c r="K46" s="78"/>
      <c r="L46" s="78"/>
      <c r="M46" s="78"/>
      <c r="Q46" s="32" t="s">
        <v>53</v>
      </c>
      <c r="R46" s="141">
        <f>I48</f>
        <v>850</v>
      </c>
      <c r="T46" s="24"/>
    </row>
    <row r="47">
      <c r="A47" s="44"/>
      <c r="B47" s="45"/>
      <c r="D47" s="46"/>
      <c r="F47" s="75">
        <v>5.0</v>
      </c>
      <c r="G47" s="76"/>
      <c r="H47" s="80"/>
      <c r="I47" s="80"/>
      <c r="J47" s="78"/>
      <c r="K47" s="78"/>
      <c r="L47" s="78"/>
      <c r="M47" s="78"/>
      <c r="Q47" s="58" t="s">
        <v>61</v>
      </c>
      <c r="R47" s="59">
        <f>M48</f>
        <v>1.302</v>
      </c>
      <c r="S47" s="16">
        <f>R47/O45</f>
        <v>1.005405405</v>
      </c>
      <c r="T47" s="24">
        <f>O45-R47</f>
        <v>-0.007</v>
      </c>
    </row>
    <row r="48">
      <c r="A48" s="44"/>
      <c r="B48" s="45"/>
      <c r="D48" s="46"/>
      <c r="F48" s="73" t="s">
        <v>62</v>
      </c>
      <c r="G48" s="85">
        <f t="shared" ref="G48:I48" si="18">AVERAGEA(G43:G46)</f>
        <v>5.343333333</v>
      </c>
      <c r="H48" s="151">
        <f t="shared" si="18"/>
        <v>0.012085</v>
      </c>
      <c r="I48" s="85">
        <f t="shared" si="18"/>
        <v>850</v>
      </c>
      <c r="J48" s="78">
        <f t="shared" ref="J48:M48" si="19">AVERAGEA(J43:J45)</f>
        <v>0.54</v>
      </c>
      <c r="K48" s="78">
        <f t="shared" si="19"/>
        <v>0.28</v>
      </c>
      <c r="L48" s="78">
        <f t="shared" si="19"/>
        <v>0.148</v>
      </c>
      <c r="M48" s="78">
        <f t="shared" si="19"/>
        <v>1.302</v>
      </c>
    </row>
    <row r="49">
      <c r="A49" s="65"/>
      <c r="B49" s="66"/>
      <c r="C49" s="67"/>
      <c r="D49" s="68"/>
      <c r="F49" s="88" t="s">
        <v>63</v>
      </c>
      <c r="G49" s="78"/>
      <c r="H49" s="78">
        <f>H48/O41</f>
        <v>0.9554870335</v>
      </c>
      <c r="I49" s="78"/>
      <c r="J49" s="78">
        <f>J48/O42</f>
        <v>1.058823529</v>
      </c>
      <c r="K49" s="78">
        <f>K48/O43</f>
        <v>1.75</v>
      </c>
      <c r="L49" s="78">
        <f>L48/O44</f>
        <v>0.9548387097</v>
      </c>
      <c r="M49" s="78">
        <f>M48/O45</f>
        <v>1.005405405</v>
      </c>
    </row>
    <row r="50">
      <c r="F50" s="88" t="s">
        <v>64</v>
      </c>
      <c r="G50" s="78"/>
      <c r="H50" s="78">
        <f>SUM((H43-O41)^2,(H44-O41)^2,(H45-O41)^2)</f>
        <v>0.000001048019</v>
      </c>
      <c r="I50" s="78"/>
      <c r="J50" s="78">
        <f>SUM((J43-$O42)^2,(J44-$O42)^2,(J45-$O42)^2)</f>
        <v>0.0027</v>
      </c>
      <c r="K50" s="78">
        <f>SUM((K43-$O43)^2,(K44-$O43)^2,(K45-$O43)^2)</f>
        <v>0.0432</v>
      </c>
      <c r="L50" s="78">
        <f>SUM((L43-$O44)^2,(L44-$O44)^2,(L45-$O44)^2)</f>
        <v>0.000149</v>
      </c>
      <c r="M50" s="78">
        <f>SUM((M43-$O45)^2,(M44-$O45)^2,(M45-$O45)^2)</f>
        <v>0.000149</v>
      </c>
      <c r="N50" s="59"/>
      <c r="O50" s="25" t="s">
        <v>68</v>
      </c>
      <c r="Q50" s="32" t="s">
        <v>43</v>
      </c>
      <c r="R50" s="32" t="s">
        <v>44</v>
      </c>
      <c r="S50" s="3" t="s">
        <v>45</v>
      </c>
      <c r="T50" s="3" t="s">
        <v>46</v>
      </c>
      <c r="V50" s="33" t="s">
        <v>136</v>
      </c>
      <c r="W50" s="52"/>
    </row>
    <row r="51">
      <c r="N51" s="59"/>
      <c r="O51" s="25"/>
      <c r="Q51" s="32"/>
      <c r="R51" s="32"/>
      <c r="S51" s="12"/>
      <c r="T51" s="12"/>
      <c r="V51" s="42"/>
      <c r="W51" s="52"/>
    </row>
    <row r="52">
      <c r="A52" s="25" t="s">
        <v>39</v>
      </c>
      <c r="B52" s="26" t="s">
        <v>40</v>
      </c>
      <c r="C52" s="27"/>
      <c r="D52" s="28"/>
      <c r="F52" s="105"/>
      <c r="G52" s="106" t="s">
        <v>78</v>
      </c>
      <c r="J52" s="105"/>
      <c r="K52" s="105"/>
      <c r="L52" s="105"/>
      <c r="M52" s="105"/>
      <c r="N52" s="32" t="s">
        <v>79</v>
      </c>
      <c r="O52" s="59">
        <f>0.33*0.29*0.36</f>
        <v>0.034452</v>
      </c>
      <c r="Q52" s="32" t="s">
        <v>59</v>
      </c>
      <c r="R52" s="91">
        <f>G59</f>
        <v>3.693333333</v>
      </c>
      <c r="V52" s="52">
        <f>(ABS(H54-O52)/O52+ABS(H55-O52)/O52+ABS(H56-O52)/O52)</f>
        <v>0.0655114362</v>
      </c>
      <c r="W52" s="52"/>
    </row>
    <row r="53">
      <c r="A53" s="34" t="s">
        <v>80</v>
      </c>
      <c r="B53" s="72" t="s">
        <v>141</v>
      </c>
      <c r="C53" s="36"/>
      <c r="D53" s="37"/>
      <c r="F53" s="107" t="s">
        <v>50</v>
      </c>
      <c r="G53" s="108" t="s">
        <v>51</v>
      </c>
      <c r="H53" s="108" t="s">
        <v>52</v>
      </c>
      <c r="I53" s="108" t="s">
        <v>53</v>
      </c>
      <c r="J53" s="106" t="s">
        <v>54</v>
      </c>
      <c r="K53" s="106" t="s">
        <v>55</v>
      </c>
      <c r="L53" s="106" t="s">
        <v>56</v>
      </c>
      <c r="M53" s="106" t="s">
        <v>123</v>
      </c>
      <c r="N53" s="32" t="s">
        <v>29</v>
      </c>
      <c r="O53" s="25">
        <v>0.33</v>
      </c>
      <c r="Q53" s="32" t="s">
        <v>60</v>
      </c>
      <c r="R53" s="50">
        <f>H59</f>
        <v>0.03369966667</v>
      </c>
      <c r="S53" s="16">
        <f t="shared" ref="S53:S56" si="20">R53/O52</f>
        <v>0.9781628546</v>
      </c>
      <c r="T53" s="24">
        <f t="shared" ref="T53:T56" si="21">O52-R53</f>
        <v>0.0007523333333</v>
      </c>
    </row>
    <row r="54">
      <c r="A54" s="44"/>
      <c r="B54" s="45"/>
      <c r="D54" s="46"/>
      <c r="F54" s="109">
        <v>1.0</v>
      </c>
      <c r="G54" s="110">
        <v>3.31</v>
      </c>
      <c r="H54" s="140">
        <v>0.033713</v>
      </c>
      <c r="I54" s="109">
        <v>1078.0</v>
      </c>
      <c r="J54" s="112">
        <v>0.4</v>
      </c>
      <c r="K54" s="112">
        <v>0.34</v>
      </c>
      <c r="L54" s="112">
        <v>0.327</v>
      </c>
      <c r="M54" s="113">
        <f t="shared" ref="M54:M56" si="22">1.55-L54-0.1</f>
        <v>1.123</v>
      </c>
      <c r="N54" s="32" t="s">
        <v>30</v>
      </c>
      <c r="O54" s="25">
        <v>0.29</v>
      </c>
      <c r="Q54" s="32" t="s">
        <v>29</v>
      </c>
      <c r="R54" s="25">
        <f>J59</f>
        <v>0.3866666667</v>
      </c>
      <c r="S54" s="16">
        <f t="shared" si="20"/>
        <v>1.171717172</v>
      </c>
      <c r="T54" s="24">
        <f t="shared" si="21"/>
        <v>-0.05666666667</v>
      </c>
    </row>
    <row r="55">
      <c r="A55" s="44"/>
      <c r="B55" s="45"/>
      <c r="D55" s="46"/>
      <c r="F55" s="109">
        <v>2.0</v>
      </c>
      <c r="G55" s="110">
        <v>2.95</v>
      </c>
      <c r="H55" s="115">
        <v>0.033879</v>
      </c>
      <c r="I55" s="115">
        <v>1052.0</v>
      </c>
      <c r="J55" s="112">
        <v>0.38</v>
      </c>
      <c r="K55" s="112">
        <v>0.35</v>
      </c>
      <c r="L55" s="112">
        <v>0.327</v>
      </c>
      <c r="M55" s="113">
        <f t="shared" si="22"/>
        <v>1.123</v>
      </c>
      <c r="N55" s="32" t="s">
        <v>31</v>
      </c>
      <c r="O55" s="25">
        <v>0.36</v>
      </c>
      <c r="Q55" s="32" t="s">
        <v>30</v>
      </c>
      <c r="R55" s="25">
        <f>K59</f>
        <v>0.35</v>
      </c>
      <c r="S55" s="16">
        <f t="shared" si="20"/>
        <v>1.206896552</v>
      </c>
      <c r="T55" s="24">
        <f t="shared" si="21"/>
        <v>-0.06</v>
      </c>
    </row>
    <row r="56">
      <c r="A56" s="44"/>
      <c r="B56" s="45"/>
      <c r="D56" s="46"/>
      <c r="F56" s="109">
        <v>3.0</v>
      </c>
      <c r="G56" s="110">
        <v>4.82</v>
      </c>
      <c r="H56" s="115">
        <v>0.033507</v>
      </c>
      <c r="I56" s="115">
        <v>1011.0</v>
      </c>
      <c r="J56" s="112">
        <v>0.38</v>
      </c>
      <c r="K56" s="112">
        <v>0.36</v>
      </c>
      <c r="L56" s="112">
        <v>0.339</v>
      </c>
      <c r="M56" s="113">
        <f t="shared" si="22"/>
        <v>1.111</v>
      </c>
      <c r="N56" s="58" t="s">
        <v>61</v>
      </c>
      <c r="O56" s="87">
        <f>1.55-O55-0.1</f>
        <v>1.09</v>
      </c>
      <c r="Q56" s="32" t="s">
        <v>31</v>
      </c>
      <c r="R56" s="25">
        <f>L59</f>
        <v>0.331</v>
      </c>
      <c r="S56" s="16">
        <f t="shared" si="20"/>
        <v>0.9194444444</v>
      </c>
      <c r="T56" s="24">
        <f t="shared" si="21"/>
        <v>0.029</v>
      </c>
    </row>
    <row r="57">
      <c r="A57" s="44"/>
      <c r="B57" s="45"/>
      <c r="D57" s="46"/>
      <c r="F57" s="109">
        <v>4.0</v>
      </c>
      <c r="G57" s="110"/>
      <c r="H57" s="115"/>
      <c r="I57" s="115"/>
      <c r="J57" s="119"/>
      <c r="K57" s="119"/>
      <c r="L57" s="119"/>
      <c r="M57" s="119"/>
      <c r="Q57" s="32" t="s">
        <v>53</v>
      </c>
      <c r="R57" s="141">
        <f>I59</f>
        <v>1047</v>
      </c>
      <c r="T57" s="24"/>
    </row>
    <row r="58">
      <c r="A58" s="44"/>
      <c r="B58" s="45"/>
      <c r="D58" s="46"/>
      <c r="F58" s="109">
        <v>5.0</v>
      </c>
      <c r="G58" s="110"/>
      <c r="H58" s="115"/>
      <c r="I58" s="115"/>
      <c r="J58" s="119"/>
      <c r="K58" s="119"/>
      <c r="L58" s="119"/>
      <c r="M58" s="119"/>
      <c r="Q58" s="58" t="s">
        <v>61</v>
      </c>
      <c r="R58" s="59">
        <f>M59</f>
        <v>1.119</v>
      </c>
      <c r="S58" s="16">
        <f>R58/O56</f>
        <v>1.026605505</v>
      </c>
      <c r="T58" s="24">
        <f>O56-R58</f>
        <v>-0.029</v>
      </c>
    </row>
    <row r="59">
      <c r="A59" s="44"/>
      <c r="B59" s="45"/>
      <c r="D59" s="46"/>
      <c r="F59" s="107" t="s">
        <v>62</v>
      </c>
      <c r="G59" s="127">
        <f t="shared" ref="G59:I59" si="23">AVERAGEA(G54:G57)</f>
        <v>3.693333333</v>
      </c>
      <c r="H59" s="142">
        <f t="shared" si="23"/>
        <v>0.03369966667</v>
      </c>
      <c r="I59" s="120">
        <f t="shared" si="23"/>
        <v>1047</v>
      </c>
      <c r="J59" s="119">
        <f t="shared" ref="J59:M59" si="24">AVERAGEA(J54:J56)</f>
        <v>0.3866666667</v>
      </c>
      <c r="K59" s="119">
        <f t="shared" si="24"/>
        <v>0.35</v>
      </c>
      <c r="L59" s="119">
        <f t="shared" si="24"/>
        <v>0.331</v>
      </c>
      <c r="M59" s="119">
        <f t="shared" si="24"/>
        <v>1.119</v>
      </c>
    </row>
    <row r="60">
      <c r="A60" s="65"/>
      <c r="B60" s="66"/>
      <c r="C60" s="67"/>
      <c r="D60" s="68"/>
      <c r="F60" s="123" t="s">
        <v>63</v>
      </c>
      <c r="G60" s="119"/>
      <c r="H60" s="119">
        <f>H59/O52</f>
        <v>0.9781628546</v>
      </c>
      <c r="I60" s="119"/>
      <c r="J60" s="119">
        <f>J59/O53</f>
        <v>1.171717172</v>
      </c>
      <c r="K60" s="119">
        <f>K59/O54</f>
        <v>1.206896552</v>
      </c>
      <c r="L60" s="119">
        <f>L59/O55</f>
        <v>0.9194444444</v>
      </c>
      <c r="M60" s="119">
        <f>M59/O56</f>
        <v>1.026605505</v>
      </c>
      <c r="N60" s="121" t="s">
        <v>82</v>
      </c>
      <c r="O60" s="27"/>
      <c r="P60" s="27"/>
      <c r="Q60" s="27"/>
      <c r="R60" s="27"/>
      <c r="S60" s="27"/>
      <c r="T60" s="28"/>
      <c r="V60" s="121" t="s">
        <v>83</v>
      </c>
      <c r="W60" s="27"/>
      <c r="X60" s="27"/>
      <c r="Y60" s="27"/>
      <c r="Z60" s="27"/>
      <c r="AA60" s="27"/>
      <c r="AB60" s="28"/>
      <c r="AF60" s="78"/>
      <c r="AG60" s="71" t="s">
        <v>84</v>
      </c>
      <c r="AJ60" s="79" t="s">
        <v>85</v>
      </c>
      <c r="AK60" s="122">
        <f>(ABS(AH62-O62)/O62+ABS(AH63-O62)/O62+ABS(AH64-O62)/O62)</f>
        <v>0.01551420564</v>
      </c>
      <c r="AL60" s="75"/>
      <c r="AM60" s="75"/>
      <c r="AN60" s="75"/>
      <c r="AO60" s="12"/>
      <c r="AP60" s="78"/>
      <c r="AQ60" s="71" t="s">
        <v>86</v>
      </c>
      <c r="AT60" s="79" t="s">
        <v>85</v>
      </c>
      <c r="AU60" s="122">
        <f>(ABS(AR62-O62)/O62+ABS(AR63-O62)/O62+ABS(AR64-O62)/O62)</f>
        <v>0.7602152496</v>
      </c>
      <c r="AV60" s="75"/>
      <c r="AW60" s="75"/>
    </row>
    <row r="61">
      <c r="F61" s="123" t="s">
        <v>64</v>
      </c>
      <c r="G61" s="119"/>
      <c r="H61" s="119">
        <f>SUM((H54-O52)^2,(H55-O52)^2,(H56-O52)^2)</f>
        <v>0.000001767475</v>
      </c>
      <c r="I61" s="119"/>
      <c r="J61" s="119">
        <f>SUM((J54-$O53)^2,(J55-$O53)^2,(J56-$O53)^2)</f>
        <v>0.0099</v>
      </c>
      <c r="K61" s="119">
        <f>SUM((K54-$O54)^2,(K55-$O54)^2,(K56-$O54)^2)</f>
        <v>0.011</v>
      </c>
      <c r="L61" s="119">
        <f>SUM((L54-$O55)^2,(L55-$O55)^2,(L56-$O55)^2)</f>
        <v>0.002619</v>
      </c>
      <c r="M61" s="119">
        <f>SUM((M54-$O56)^2,(M55-$O56)^2,(M56-$O56)^2)</f>
        <v>0.002619</v>
      </c>
      <c r="N61" s="31"/>
      <c r="O61" s="32" t="s">
        <v>68</v>
      </c>
      <c r="Q61" s="32" t="s">
        <v>43</v>
      </c>
      <c r="R61" s="32" t="s">
        <v>62</v>
      </c>
      <c r="S61" s="3" t="s">
        <v>45</v>
      </c>
      <c r="T61" s="3" t="s">
        <v>46</v>
      </c>
      <c r="U61" s="32" t="s">
        <v>87</v>
      </c>
      <c r="V61" s="32" t="s">
        <v>68</v>
      </c>
      <c r="X61" s="32" t="s">
        <v>43</v>
      </c>
      <c r="Y61" s="32" t="s">
        <v>44</v>
      </c>
      <c r="Z61" s="12" t="s">
        <v>45</v>
      </c>
      <c r="AB61" s="12" t="s">
        <v>46</v>
      </c>
      <c r="AF61" s="73" t="s">
        <v>50</v>
      </c>
      <c r="AG61" s="74" t="s">
        <v>51</v>
      </c>
      <c r="AH61" s="74" t="s">
        <v>52</v>
      </c>
      <c r="AI61" s="74" t="s">
        <v>53</v>
      </c>
      <c r="AJ61" s="74"/>
      <c r="AK61" s="71" t="s">
        <v>54</v>
      </c>
      <c r="AL61" s="71" t="s">
        <v>55</v>
      </c>
      <c r="AM61" s="71" t="s">
        <v>56</v>
      </c>
      <c r="AN61" s="71" t="s">
        <v>123</v>
      </c>
      <c r="AO61" s="43"/>
      <c r="AP61" s="73" t="s">
        <v>50</v>
      </c>
      <c r="AQ61" s="74" t="s">
        <v>51</v>
      </c>
      <c r="AR61" s="74" t="s">
        <v>52</v>
      </c>
      <c r="AS61" s="74" t="s">
        <v>53</v>
      </c>
      <c r="AT61" s="71" t="s">
        <v>54</v>
      </c>
      <c r="AU61" s="71" t="s">
        <v>55</v>
      </c>
      <c r="AV61" s="71" t="s">
        <v>56</v>
      </c>
      <c r="AW61" s="71" t="s">
        <v>123</v>
      </c>
    </row>
    <row r="62">
      <c r="A62" s="25"/>
      <c r="B62" s="26" t="s">
        <v>89</v>
      </c>
      <c r="C62" s="27"/>
      <c r="D62" s="28"/>
      <c r="F62" s="25" t="s">
        <v>39</v>
      </c>
      <c r="G62" s="26" t="s">
        <v>90</v>
      </c>
      <c r="H62" s="27"/>
      <c r="I62" s="28"/>
      <c r="N62" s="32" t="s">
        <v>91</v>
      </c>
      <c r="O62" s="59">
        <f>0.495*0.29*0.545</f>
        <v>0.07823475</v>
      </c>
      <c r="Q62" s="32" t="s">
        <v>59</v>
      </c>
      <c r="R62" s="41">
        <f>AG67</f>
        <v>2.49</v>
      </c>
      <c r="U62" s="32" t="s">
        <v>92</v>
      </c>
      <c r="V62" s="59">
        <v>0.044224999999999993</v>
      </c>
      <c r="X62" s="32" t="s">
        <v>59</v>
      </c>
      <c r="Y62" s="91">
        <f>AQ67</f>
        <v>12.31666667</v>
      </c>
      <c r="AF62" s="75">
        <v>1.0</v>
      </c>
      <c r="AG62" s="76">
        <v>2.52</v>
      </c>
      <c r="AH62" s="77">
        <v>0.078013</v>
      </c>
      <c r="AI62" s="75">
        <v>1509.0</v>
      </c>
      <c r="AJ62" s="75"/>
      <c r="AK62" s="124">
        <v>0.55</v>
      </c>
      <c r="AL62" s="124">
        <v>0.35</v>
      </c>
      <c r="AM62" s="124">
        <v>0.541</v>
      </c>
      <c r="AN62" s="144">
        <f t="shared" ref="AN62:AN64" si="25">1.55-AM62-0.1</f>
        <v>0.909</v>
      </c>
      <c r="AO62" s="12"/>
      <c r="AP62" s="75">
        <v>1.0</v>
      </c>
      <c r="AQ62" s="76">
        <v>10.34</v>
      </c>
      <c r="AR62" s="77">
        <v>0.058367</v>
      </c>
      <c r="AS62" s="75">
        <v>2190.0</v>
      </c>
      <c r="AT62" s="124">
        <v>0.58</v>
      </c>
      <c r="AU62" s="124">
        <v>0.56</v>
      </c>
      <c r="AV62" s="124">
        <v>0.274</v>
      </c>
      <c r="AW62" s="144">
        <f t="shared" ref="AW62:AW64" si="26">1.55-AV62-0.1</f>
        <v>1.176</v>
      </c>
    </row>
    <row r="63">
      <c r="A63" s="34" t="s">
        <v>93</v>
      </c>
      <c r="B63" s="72" t="s">
        <v>142</v>
      </c>
      <c r="C63" s="36"/>
      <c r="D63" s="37"/>
      <c r="F63" s="34" t="s">
        <v>93</v>
      </c>
      <c r="G63" s="72" t="s">
        <v>143</v>
      </c>
      <c r="H63" s="36"/>
      <c r="I63" s="37"/>
      <c r="N63" s="32" t="s">
        <v>29</v>
      </c>
      <c r="O63" s="25">
        <v>0.495</v>
      </c>
      <c r="Q63" s="32" t="s">
        <v>60</v>
      </c>
      <c r="R63" s="50">
        <f>AH67</f>
        <v>0.07829366667</v>
      </c>
      <c r="S63" s="16">
        <f t="shared" ref="S63:S66" si="27">R63/O62</f>
        <v>1.000753075</v>
      </c>
      <c r="T63" s="100">
        <f t="shared" ref="T63:T66" si="28">O62-R63</f>
        <v>-0.00005891666667</v>
      </c>
      <c r="U63" s="32" t="s">
        <v>96</v>
      </c>
      <c r="V63" s="59">
        <v>0.014393749999999999</v>
      </c>
      <c r="X63" s="32" t="s">
        <v>60</v>
      </c>
      <c r="Y63" s="50">
        <f>AR67</f>
        <v>0.05840966667</v>
      </c>
      <c r="Z63" s="16">
        <f>Y63/O62</f>
        <v>0.7465949168</v>
      </c>
      <c r="AB63" s="100">
        <f t="shared" ref="AB63:AB66" si="29">Y63-V64</f>
        <v>-0.0002090833333</v>
      </c>
      <c r="AF63" s="75">
        <v>2.0</v>
      </c>
      <c r="AG63" s="76">
        <v>2.42</v>
      </c>
      <c r="AH63" s="151">
        <v>0.07893</v>
      </c>
      <c r="AI63" s="80">
        <v>1492.0</v>
      </c>
      <c r="AJ63" s="80"/>
      <c r="AK63" s="125">
        <v>0.55</v>
      </c>
      <c r="AL63" s="125">
        <v>0.35</v>
      </c>
      <c r="AM63" s="125">
        <v>0.541</v>
      </c>
      <c r="AN63" s="144">
        <f t="shared" si="25"/>
        <v>0.909</v>
      </c>
      <c r="AO63" s="43"/>
      <c r="AP63" s="75">
        <v>2.0</v>
      </c>
      <c r="AQ63" s="76">
        <v>11.31</v>
      </c>
      <c r="AR63" s="80">
        <v>0.058346</v>
      </c>
      <c r="AS63" s="80">
        <v>2224.0</v>
      </c>
      <c r="AT63" s="125">
        <v>0.58</v>
      </c>
      <c r="AU63" s="125">
        <v>0.55</v>
      </c>
      <c r="AV63" s="125">
        <v>0.274</v>
      </c>
      <c r="AW63" s="144">
        <f t="shared" si="26"/>
        <v>1.176</v>
      </c>
    </row>
    <row r="64">
      <c r="A64" s="44"/>
      <c r="B64" s="45"/>
      <c r="D64" s="46"/>
      <c r="F64" s="44"/>
      <c r="G64" s="45"/>
      <c r="I64" s="46"/>
      <c r="N64" s="32" t="s">
        <v>30</v>
      </c>
      <c r="O64" s="25">
        <v>0.29</v>
      </c>
      <c r="Q64" s="32" t="s">
        <v>29</v>
      </c>
      <c r="R64" s="41">
        <f>AK67</f>
        <v>0.5466666667</v>
      </c>
      <c r="S64" s="16">
        <f t="shared" si="27"/>
        <v>1.104377104</v>
      </c>
      <c r="T64" s="100">
        <f t="shared" si="28"/>
        <v>-0.05166666667</v>
      </c>
      <c r="U64" s="32" t="s">
        <v>97</v>
      </c>
      <c r="V64" s="59">
        <v>0.05861874999999999</v>
      </c>
      <c r="X64" s="32" t="s">
        <v>29</v>
      </c>
      <c r="Y64" s="41">
        <f>AT67</f>
        <v>0.5833333333</v>
      </c>
      <c r="Z64" s="16">
        <f t="shared" ref="Z64:Z66" si="30">Y64/V65</f>
        <v>1.070336391</v>
      </c>
      <c r="AA64" s="16"/>
      <c r="AB64" s="100">
        <f t="shared" si="29"/>
        <v>0.03833333333</v>
      </c>
      <c r="AF64" s="75">
        <v>3.0</v>
      </c>
      <c r="AG64" s="76">
        <v>2.53</v>
      </c>
      <c r="AH64" s="80">
        <v>0.077938</v>
      </c>
      <c r="AI64" s="80">
        <v>1487.0</v>
      </c>
      <c r="AJ64" s="80"/>
      <c r="AK64" s="125">
        <v>0.54</v>
      </c>
      <c r="AL64" s="125">
        <v>0.36</v>
      </c>
      <c r="AM64" s="125">
        <v>0.54</v>
      </c>
      <c r="AN64" s="144">
        <f t="shared" si="25"/>
        <v>0.91</v>
      </c>
      <c r="AO64" s="43"/>
      <c r="AP64" s="75">
        <v>3.0</v>
      </c>
      <c r="AQ64" s="76">
        <v>15.3</v>
      </c>
      <c r="AR64" s="80">
        <v>0.058516</v>
      </c>
      <c r="AS64" s="80">
        <v>2243.0</v>
      </c>
      <c r="AT64" s="125">
        <v>0.59</v>
      </c>
      <c r="AU64" s="125">
        <v>0.55</v>
      </c>
      <c r="AV64" s="125">
        <v>0.274</v>
      </c>
      <c r="AW64" s="144">
        <f t="shared" si="26"/>
        <v>1.176</v>
      </c>
    </row>
    <row r="65">
      <c r="A65" s="44"/>
      <c r="B65" s="45"/>
      <c r="D65" s="46"/>
      <c r="F65" s="44"/>
      <c r="G65" s="45"/>
      <c r="I65" s="46"/>
      <c r="N65" s="32" t="s">
        <v>31</v>
      </c>
      <c r="O65" s="25">
        <v>0.545</v>
      </c>
      <c r="Q65" s="32" t="s">
        <v>30</v>
      </c>
      <c r="R65" s="41">
        <f>AL67</f>
        <v>0.3533333333</v>
      </c>
      <c r="S65" s="16">
        <f t="shared" si="27"/>
        <v>1.218390805</v>
      </c>
      <c r="T65" s="100">
        <f t="shared" si="28"/>
        <v>-0.06333333333</v>
      </c>
      <c r="U65" s="25" t="s">
        <v>98</v>
      </c>
      <c r="V65" s="25">
        <v>0.545</v>
      </c>
      <c r="X65" s="32" t="s">
        <v>30</v>
      </c>
      <c r="Y65" s="41">
        <f>AU67</f>
        <v>0.5533333333</v>
      </c>
      <c r="Z65" s="16">
        <f t="shared" si="30"/>
        <v>1.117845118</v>
      </c>
      <c r="AA65" s="16"/>
      <c r="AB65" s="100">
        <f t="shared" si="29"/>
        <v>0.05833333333</v>
      </c>
      <c r="AF65" s="75">
        <v>4.0</v>
      </c>
      <c r="AG65" s="76"/>
      <c r="AH65" s="80"/>
      <c r="AI65" s="80"/>
      <c r="AJ65" s="80"/>
      <c r="AK65" s="80"/>
      <c r="AL65" s="80"/>
      <c r="AM65" s="80"/>
      <c r="AN65" s="80"/>
      <c r="AO65" s="43"/>
      <c r="AP65" s="75">
        <v>4.0</v>
      </c>
      <c r="AQ65" s="76"/>
      <c r="AR65" s="80"/>
      <c r="AS65" s="80"/>
      <c r="AT65" s="125"/>
      <c r="AU65" s="125"/>
      <c r="AV65" s="125"/>
      <c r="AW65" s="78"/>
    </row>
    <row r="66">
      <c r="A66" s="44"/>
      <c r="B66" s="45"/>
      <c r="D66" s="46"/>
      <c r="F66" s="44"/>
      <c r="G66" s="45"/>
      <c r="I66" s="46"/>
      <c r="N66" s="58" t="s">
        <v>61</v>
      </c>
      <c r="O66" s="87">
        <f>1.55-O65-0.1</f>
        <v>0.905</v>
      </c>
      <c r="Q66" s="32" t="s">
        <v>31</v>
      </c>
      <c r="R66" s="41">
        <f>AM67</f>
        <v>0.5406666667</v>
      </c>
      <c r="S66" s="16">
        <f t="shared" si="27"/>
        <v>0.9920489297</v>
      </c>
      <c r="T66" s="100">
        <f t="shared" si="28"/>
        <v>0.004333333333</v>
      </c>
      <c r="U66" s="25" t="s">
        <v>99</v>
      </c>
      <c r="V66" s="25">
        <v>0.495</v>
      </c>
      <c r="X66" s="32" t="s">
        <v>31</v>
      </c>
      <c r="Y66" s="41">
        <f>AV67</f>
        <v>0.274</v>
      </c>
      <c r="Z66" s="16">
        <f t="shared" si="30"/>
        <v>0.9448275862</v>
      </c>
      <c r="AA66" s="16"/>
      <c r="AB66" s="100">
        <f t="shared" si="29"/>
        <v>-0.016</v>
      </c>
      <c r="AF66" s="75">
        <v>5.0</v>
      </c>
      <c r="AG66" s="76"/>
      <c r="AH66" s="80"/>
      <c r="AI66" s="80"/>
      <c r="AJ66" s="80"/>
      <c r="AK66" s="80"/>
      <c r="AL66" s="80"/>
      <c r="AM66" s="80"/>
      <c r="AN66" s="80"/>
      <c r="AO66" s="43"/>
      <c r="AP66" s="75">
        <v>5.0</v>
      </c>
      <c r="AQ66" s="76"/>
      <c r="AR66" s="80"/>
      <c r="AS66" s="80"/>
      <c r="AT66" s="80"/>
      <c r="AU66" s="80"/>
      <c r="AV66" s="80"/>
      <c r="AW66" s="80"/>
    </row>
    <row r="67">
      <c r="A67" s="44"/>
      <c r="B67" s="45"/>
      <c r="D67" s="46"/>
      <c r="F67" s="44"/>
      <c r="G67" s="45"/>
      <c r="I67" s="46"/>
      <c r="Q67" s="32" t="s">
        <v>53</v>
      </c>
      <c r="R67" s="41">
        <f>AI67</f>
        <v>1496</v>
      </c>
      <c r="T67" s="100"/>
      <c r="U67" s="25" t="s">
        <v>100</v>
      </c>
      <c r="V67" s="25">
        <v>0.29</v>
      </c>
      <c r="X67" s="32" t="s">
        <v>53</v>
      </c>
      <c r="Y67" s="41">
        <f>AS67</f>
        <v>2219</v>
      </c>
      <c r="Z67" s="16"/>
      <c r="AA67" s="16"/>
      <c r="AB67" s="100"/>
      <c r="AF67" s="73" t="s">
        <v>62</v>
      </c>
      <c r="AG67" s="85">
        <f t="shared" ref="AG67:AI67" si="31">AVERAGEA(AG62:AG65)</f>
        <v>2.49</v>
      </c>
      <c r="AH67" s="151">
        <f t="shared" si="31"/>
        <v>0.07829366667</v>
      </c>
      <c r="AI67" s="85">
        <f t="shared" si="31"/>
        <v>1496</v>
      </c>
      <c r="AJ67" s="85"/>
      <c r="AK67" s="85">
        <f t="shared" ref="AK67:AN67" si="32">AVERAGEA(AK62:AK64)</f>
        <v>0.5466666667</v>
      </c>
      <c r="AL67" s="85">
        <f t="shared" si="32"/>
        <v>0.3533333333</v>
      </c>
      <c r="AM67" s="85">
        <f t="shared" si="32"/>
        <v>0.5406666667</v>
      </c>
      <c r="AN67" s="85">
        <f t="shared" si="32"/>
        <v>0.9093333333</v>
      </c>
      <c r="AO67" s="64"/>
      <c r="AP67" s="73" t="s">
        <v>62</v>
      </c>
      <c r="AQ67" s="104">
        <f t="shared" ref="AQ67:AS67" si="33">AVERAGEA(AQ62:AQ65)</f>
        <v>12.31666667</v>
      </c>
      <c r="AR67" s="151">
        <f t="shared" si="33"/>
        <v>0.05840966667</v>
      </c>
      <c r="AS67" s="85">
        <f t="shared" si="33"/>
        <v>2219</v>
      </c>
      <c r="AT67" s="85">
        <f t="shared" ref="AT67:AW67" si="34">AVERAGEA(AT62:AT64)</f>
        <v>0.5833333333</v>
      </c>
      <c r="AU67" s="85">
        <f t="shared" si="34"/>
        <v>0.5533333333</v>
      </c>
      <c r="AV67" s="85">
        <f t="shared" si="34"/>
        <v>0.274</v>
      </c>
      <c r="AW67" s="85">
        <f t="shared" si="34"/>
        <v>1.176</v>
      </c>
    </row>
    <row r="68">
      <c r="A68" s="44"/>
      <c r="B68" s="45"/>
      <c r="D68" s="46"/>
      <c r="F68" s="44"/>
      <c r="G68" s="45"/>
      <c r="I68" s="46"/>
      <c r="Q68" s="58" t="s">
        <v>61</v>
      </c>
      <c r="R68" s="103">
        <f>AN67</f>
        <v>0.9093333333</v>
      </c>
      <c r="S68" s="16">
        <f>R68/O66</f>
        <v>1.004788214</v>
      </c>
      <c r="T68" s="100">
        <f>O66-R68</f>
        <v>-0.004333333333</v>
      </c>
      <c r="U68" s="58" t="s">
        <v>144</v>
      </c>
      <c r="V68" s="59">
        <f>1.55-V67-0.1</f>
        <v>1.16</v>
      </c>
      <c r="X68" s="58" t="s">
        <v>144</v>
      </c>
      <c r="Y68" s="103">
        <f>AW67</f>
        <v>1.176</v>
      </c>
      <c r="Z68" s="16">
        <f>Y68/V68</f>
        <v>1.013793103</v>
      </c>
      <c r="AB68" s="100">
        <f>V68-Y68</f>
        <v>-0.016</v>
      </c>
      <c r="AF68" s="70"/>
      <c r="AG68" s="78"/>
      <c r="AH68" s="78">
        <f>AH67/R63</f>
        <v>1</v>
      </c>
      <c r="AI68" s="78"/>
      <c r="AJ68" s="78"/>
      <c r="AK68" s="78"/>
      <c r="AL68" s="78"/>
      <c r="AM68" s="78"/>
      <c r="AN68" s="78"/>
      <c r="AP68" s="70"/>
      <c r="AQ68" s="78"/>
      <c r="AR68" s="78">
        <f>AR67/R63</f>
        <v>0.7460330976</v>
      </c>
      <c r="AS68" s="78"/>
      <c r="AT68" s="78"/>
      <c r="AU68" s="78"/>
      <c r="AV68" s="78"/>
      <c r="AW68" s="78"/>
    </row>
    <row r="69">
      <c r="A69" s="44"/>
      <c r="B69" s="45"/>
      <c r="D69" s="46"/>
      <c r="F69" s="44"/>
      <c r="G69" s="45"/>
      <c r="I69" s="46"/>
      <c r="Y69" s="12" t="s">
        <v>93</v>
      </c>
      <c r="Z69" s="12" t="s">
        <v>101</v>
      </c>
      <c r="AA69" s="12" t="s">
        <v>102</v>
      </c>
      <c r="AF69" s="88" t="s">
        <v>63</v>
      </c>
      <c r="AG69" s="78"/>
      <c r="AH69" s="78">
        <f>AH67/Y63</f>
        <v>1.340423103</v>
      </c>
      <c r="AI69" s="78"/>
      <c r="AJ69" s="78"/>
      <c r="AK69" s="78">
        <f>AK67/O63</f>
        <v>1.104377104</v>
      </c>
      <c r="AL69" s="78">
        <f>AL67/O64</f>
        <v>1.218390805</v>
      </c>
      <c r="AM69" s="78">
        <f>AM67/O65</f>
        <v>0.9920489297</v>
      </c>
      <c r="AN69" s="78">
        <f>AN67/O66</f>
        <v>1.004788214</v>
      </c>
      <c r="AP69" s="88" t="s">
        <v>63</v>
      </c>
      <c r="AQ69" s="78"/>
      <c r="AR69" s="78">
        <f>AR67/Y63</f>
        <v>1</v>
      </c>
      <c r="AS69" s="78"/>
      <c r="AT69" s="78">
        <f>AT67/V65</f>
        <v>1.070336391</v>
      </c>
      <c r="AU69" s="78">
        <f>AU67/V66</f>
        <v>1.117845118</v>
      </c>
      <c r="AV69" s="78">
        <f>AV67/V67</f>
        <v>0.9448275862</v>
      </c>
      <c r="AW69" s="78">
        <f>AW67/V68</f>
        <v>1.013793103</v>
      </c>
    </row>
    <row r="70">
      <c r="A70" s="65"/>
      <c r="B70" s="66"/>
      <c r="C70" s="67"/>
      <c r="D70" s="68"/>
      <c r="F70" s="65"/>
      <c r="G70" s="66"/>
      <c r="H70" s="67"/>
      <c r="I70" s="68"/>
      <c r="X70" s="12" t="s">
        <v>103</v>
      </c>
      <c r="Z70" s="16">
        <f>R63/V64</f>
        <v>1.335642037</v>
      </c>
      <c r="AA70" s="16">
        <f>Y63/V64</f>
        <v>0.9964331663</v>
      </c>
      <c r="AF70" s="88" t="s">
        <v>64</v>
      </c>
      <c r="AG70" s="78"/>
      <c r="AH70" s="78">
        <f>SUM((AH62-$O62)^2,(AH63-$O62)^2,(AH64-$O62)^2)</f>
        <v>0.0000006206061875</v>
      </c>
      <c r="AI70" s="78"/>
      <c r="AJ70" s="78"/>
      <c r="AK70" s="78">
        <f>SUM((AK62-$O63)^2,(AK63-$O63)^2,(AK64-$O63)^2)</f>
        <v>0.008075</v>
      </c>
      <c r="AL70" s="78">
        <f>SUM((AL62-$O64)^2,(AL63-$O64)^2,(AL64-$O64)^2)</f>
        <v>0.0121</v>
      </c>
      <c r="AM70" s="78">
        <f>SUM((AM62-$O65)^2,(AM63-$O65)^2,(AM64-$O65)^2)</f>
        <v>0.000057</v>
      </c>
      <c r="AN70" s="78">
        <f>SUM((AN62-$O66)^2,(AN63-$O66)^2,(AN64-$O66)^2)</f>
        <v>0.000057</v>
      </c>
      <c r="AP70" s="88" t="s">
        <v>64</v>
      </c>
      <c r="AQ70" s="78"/>
      <c r="AR70" s="78">
        <f>SUM((AR62-$O62)^2,(AR63-$O62)^2,(AR64-$O62)^2)</f>
        <v>0.001179118968</v>
      </c>
      <c r="AS70" s="78"/>
      <c r="AT70" s="78">
        <f>SUM((AT62-$V65)^2,(AT63-$V65)^2,(AT64-$V65)^2)</f>
        <v>0.004475</v>
      </c>
      <c r="AU70" s="78">
        <f>SUM((AU62-$V66)^2,(AU63-$V66)^2,(AU64-$V66)^2)</f>
        <v>0.010275</v>
      </c>
      <c r="AV70" s="78">
        <f>SUM((AV62-$V67)^2,(AV63-$V67)^2,(AV64-$V67)^2)</f>
        <v>0.000768</v>
      </c>
      <c r="AW70" s="78">
        <f>SUM((AW62-$V68)^2,(AW63-$V68)^2,(AW64-$V68)^2)</f>
        <v>0.000768</v>
      </c>
    </row>
    <row r="71">
      <c r="N71" s="31"/>
      <c r="O71" s="32" t="s">
        <v>68</v>
      </c>
      <c r="Q71" s="32" t="s">
        <v>43</v>
      </c>
      <c r="R71" s="32" t="s">
        <v>44</v>
      </c>
      <c r="S71" s="3" t="s">
        <v>45</v>
      </c>
      <c r="T71" s="3" t="s">
        <v>46</v>
      </c>
      <c r="U71" s="33" t="s">
        <v>136</v>
      </c>
      <c r="V71" s="52"/>
    </row>
    <row r="72">
      <c r="A72" s="25" t="s">
        <v>39</v>
      </c>
      <c r="B72" s="26" t="s">
        <v>132</v>
      </c>
      <c r="C72" s="27"/>
      <c r="D72" s="28"/>
      <c r="F72" s="105"/>
      <c r="G72" s="106" t="s">
        <v>104</v>
      </c>
      <c r="J72" s="105"/>
      <c r="K72" s="105"/>
      <c r="L72" s="105"/>
      <c r="M72" s="105"/>
      <c r="N72" s="32" t="s">
        <v>105</v>
      </c>
      <c r="O72" s="59">
        <f>0.815*0.415*0.165</f>
        <v>0.055807125</v>
      </c>
      <c r="Q72" s="32" t="s">
        <v>59</v>
      </c>
      <c r="R72" s="41">
        <f>G79</f>
        <v>17.00333333</v>
      </c>
      <c r="U72" s="42"/>
    </row>
    <row r="73">
      <c r="A73" s="34" t="s">
        <v>106</v>
      </c>
      <c r="B73" s="72" t="s">
        <v>145</v>
      </c>
      <c r="C73" s="36"/>
      <c r="D73" s="37"/>
      <c r="F73" s="107" t="s">
        <v>50</v>
      </c>
      <c r="G73" s="108" t="s">
        <v>51</v>
      </c>
      <c r="H73" s="108" t="s">
        <v>52</v>
      </c>
      <c r="I73" s="108" t="s">
        <v>53</v>
      </c>
      <c r="J73" s="106" t="s">
        <v>54</v>
      </c>
      <c r="K73" s="106" t="s">
        <v>55</v>
      </c>
      <c r="L73" s="106" t="s">
        <v>56</v>
      </c>
      <c r="M73" s="106" t="s">
        <v>88</v>
      </c>
      <c r="N73" s="32" t="s">
        <v>29</v>
      </c>
      <c r="O73" s="25">
        <v>0.815</v>
      </c>
      <c r="Q73" s="32" t="s">
        <v>60</v>
      </c>
      <c r="R73" s="50">
        <f>H79</f>
        <v>0.05106</v>
      </c>
      <c r="S73" s="16">
        <f t="shared" ref="S73:S76" si="35">R73/O72</f>
        <v>0.9149369368</v>
      </c>
      <c r="T73" s="24">
        <f t="shared" ref="T73:T76" si="36">O72-R73</f>
        <v>0.004747125</v>
      </c>
      <c r="U73" s="52">
        <f>(ABS(H74-O72)/O72+ABS(H75-O72)/O72+ABS(H76-O72)/O72)</f>
        <v>0.2551891896</v>
      </c>
    </row>
    <row r="74">
      <c r="A74" s="44"/>
      <c r="B74" s="45"/>
      <c r="D74" s="46"/>
      <c r="F74" s="109">
        <v>1.0</v>
      </c>
      <c r="G74" s="110">
        <v>19.71</v>
      </c>
      <c r="H74" s="140">
        <v>0.052993</v>
      </c>
      <c r="I74" s="109">
        <v>3371.0</v>
      </c>
      <c r="J74" s="112">
        <v>0.87</v>
      </c>
      <c r="K74" s="112">
        <v>0.48</v>
      </c>
      <c r="L74" s="112">
        <v>0.163</v>
      </c>
      <c r="M74" s="113">
        <f t="shared" ref="M74:M76" si="37">1.55-L74-0.1</f>
        <v>1.287</v>
      </c>
      <c r="N74" s="32" t="s">
        <v>30</v>
      </c>
      <c r="O74" s="25">
        <v>0.415</v>
      </c>
      <c r="Q74" s="32" t="s">
        <v>29</v>
      </c>
      <c r="R74" s="25">
        <f>J79</f>
        <v>0.8766666667</v>
      </c>
      <c r="S74" s="16">
        <f t="shared" si="35"/>
        <v>1.075664622</v>
      </c>
      <c r="T74" s="24">
        <f t="shared" si="36"/>
        <v>-0.06166666667</v>
      </c>
    </row>
    <row r="75">
      <c r="A75" s="44"/>
      <c r="B75" s="45"/>
      <c r="D75" s="46"/>
      <c r="F75" s="109">
        <v>2.0</v>
      </c>
      <c r="G75" s="110">
        <v>14.22</v>
      </c>
      <c r="H75" s="115">
        <v>0.050283</v>
      </c>
      <c r="I75" s="115"/>
      <c r="J75" s="112">
        <v>0.87</v>
      </c>
      <c r="K75" s="112">
        <v>0.48</v>
      </c>
      <c r="L75" s="112">
        <v>0.164</v>
      </c>
      <c r="M75" s="113">
        <f t="shared" si="37"/>
        <v>1.286</v>
      </c>
      <c r="N75" s="32" t="s">
        <v>31</v>
      </c>
      <c r="O75" s="25">
        <v>0.165</v>
      </c>
      <c r="Q75" s="32" t="s">
        <v>30</v>
      </c>
      <c r="R75" s="25">
        <f>K79</f>
        <v>0.4833333333</v>
      </c>
      <c r="S75" s="16">
        <f t="shared" si="35"/>
        <v>1.164658635</v>
      </c>
      <c r="T75" s="24">
        <f t="shared" si="36"/>
        <v>-0.06833333333</v>
      </c>
    </row>
    <row r="76">
      <c r="A76" s="44"/>
      <c r="B76" s="45"/>
      <c r="D76" s="46"/>
      <c r="F76" s="109">
        <v>3.0</v>
      </c>
      <c r="G76" s="110">
        <v>17.08</v>
      </c>
      <c r="H76" s="115">
        <v>0.049904</v>
      </c>
      <c r="I76" s="115"/>
      <c r="J76" s="112">
        <v>0.89</v>
      </c>
      <c r="K76" s="112">
        <v>0.49</v>
      </c>
      <c r="L76" s="112">
        <v>0.163</v>
      </c>
      <c r="M76" s="113">
        <f t="shared" si="37"/>
        <v>1.287</v>
      </c>
      <c r="N76" s="58" t="s">
        <v>61</v>
      </c>
      <c r="O76" s="87">
        <f>1.55-O75-0.1</f>
        <v>1.285</v>
      </c>
      <c r="Q76" s="32" t="s">
        <v>31</v>
      </c>
      <c r="R76" s="25">
        <f>L79</f>
        <v>0.1633333333</v>
      </c>
      <c r="S76" s="16">
        <f t="shared" si="35"/>
        <v>0.9898989899</v>
      </c>
      <c r="T76" s="24">
        <f t="shared" si="36"/>
        <v>0.001666666667</v>
      </c>
    </row>
    <row r="77">
      <c r="A77" s="44"/>
      <c r="B77" s="45"/>
      <c r="D77" s="46"/>
      <c r="F77" s="109">
        <v>4.0</v>
      </c>
      <c r="G77" s="110"/>
      <c r="H77" s="115"/>
      <c r="I77" s="115"/>
      <c r="J77" s="119"/>
      <c r="K77" s="119"/>
      <c r="L77" s="119"/>
      <c r="M77" s="119"/>
      <c r="Q77" s="32" t="s">
        <v>53</v>
      </c>
      <c r="R77" s="141">
        <f>I79</f>
        <v>3371</v>
      </c>
      <c r="T77" s="24"/>
    </row>
    <row r="78">
      <c r="A78" s="44"/>
      <c r="B78" s="45"/>
      <c r="D78" s="46"/>
      <c r="F78" s="109">
        <v>5.0</v>
      </c>
      <c r="G78" s="110"/>
      <c r="H78" s="115"/>
      <c r="I78" s="115"/>
      <c r="J78" s="119"/>
      <c r="K78" s="119"/>
      <c r="L78" s="119"/>
      <c r="M78" s="119"/>
      <c r="Q78" s="58" t="s">
        <v>61</v>
      </c>
      <c r="R78" s="59">
        <f>M79</f>
        <v>1.286666667</v>
      </c>
      <c r="S78" s="16">
        <f>R78/O76</f>
        <v>1.001297017</v>
      </c>
      <c r="T78" s="24">
        <f>O76-R78</f>
        <v>-0.001666666667</v>
      </c>
    </row>
    <row r="79">
      <c r="A79" s="44"/>
      <c r="B79" s="45"/>
      <c r="D79" s="46"/>
      <c r="F79" s="107" t="s">
        <v>62</v>
      </c>
      <c r="G79" s="120">
        <f t="shared" ref="G79:I79" si="38">AVERAGEA(G74:G77)</f>
        <v>17.00333333</v>
      </c>
      <c r="H79" s="154">
        <f t="shared" si="38"/>
        <v>0.05106</v>
      </c>
      <c r="I79" s="120">
        <f t="shared" si="38"/>
        <v>3371</v>
      </c>
      <c r="J79" s="119">
        <f t="shared" ref="J79:M79" si="39">AVERAGEA(J74:J76)</f>
        <v>0.8766666667</v>
      </c>
      <c r="K79" s="119">
        <f t="shared" si="39"/>
        <v>0.4833333333</v>
      </c>
      <c r="L79" s="119">
        <f t="shared" si="39"/>
        <v>0.1633333333</v>
      </c>
      <c r="M79" s="119">
        <f t="shared" si="39"/>
        <v>1.286666667</v>
      </c>
    </row>
    <row r="80">
      <c r="A80" s="65"/>
      <c r="B80" s="66"/>
      <c r="C80" s="67"/>
      <c r="D80" s="68"/>
      <c r="F80" s="123" t="s">
        <v>63</v>
      </c>
      <c r="G80" s="119"/>
      <c r="H80" s="119">
        <f>H79/O72</f>
        <v>0.9149369368</v>
      </c>
      <c r="I80" s="119"/>
      <c r="J80" s="119">
        <f>J79/O73</f>
        <v>1.075664622</v>
      </c>
      <c r="K80" s="119">
        <f>K79/O74</f>
        <v>1.164658635</v>
      </c>
      <c r="L80" s="119">
        <f>L79/O75</f>
        <v>0.9898989899</v>
      </c>
      <c r="M80" s="119">
        <f>M79/O76</f>
        <v>1.001297017</v>
      </c>
      <c r="N80" s="1" t="s">
        <v>108</v>
      </c>
    </row>
    <row r="81">
      <c r="F81" s="123" t="s">
        <v>64</v>
      </c>
      <c r="G81" s="119"/>
      <c r="H81" s="119">
        <f>SUM((H74-O72)^2,(H75-O72)^2,(H76-O72)^2)</f>
        <v>0.0000732821413</v>
      </c>
      <c r="I81" s="119"/>
      <c r="J81" s="119">
        <f>SUM((J74-$O73)^2,(J75-$O73)^2,(J76-$O73)^2)</f>
        <v>0.011675</v>
      </c>
      <c r="K81" s="119">
        <f>SUM((K74-$O74)^2,(K75-$O74)^2,(K76-$O74)^2)</f>
        <v>0.014075</v>
      </c>
      <c r="L81" s="119">
        <f>SUM((L74-$O75)^2,(L75-$O75)^2,(L76-$O75)^2)</f>
        <v>0.000009</v>
      </c>
      <c r="M81" s="119">
        <f>SUM((M74-$O76)^2,(M75-$O76)^2,(M76-$O76)^2)</f>
        <v>0.000009</v>
      </c>
      <c r="N81" s="3" t="s">
        <v>109</v>
      </c>
      <c r="O81" s="8"/>
      <c r="P81" s="3" t="s">
        <v>110</v>
      </c>
      <c r="Q81" s="8"/>
      <c r="R81" s="8"/>
    </row>
    <row r="82">
      <c r="N82" s="12" t="s">
        <v>111</v>
      </c>
      <c r="O82" s="6">
        <f>AVERAGE(R9,R32,R52,R72)</f>
        <v>9.663333333</v>
      </c>
      <c r="Q82" s="128" t="s">
        <v>146</v>
      </c>
      <c r="S82" s="106" t="s">
        <v>27</v>
      </c>
      <c r="W82" s="129" t="s">
        <v>112</v>
      </c>
      <c r="X82" s="28"/>
    </row>
    <row r="83">
      <c r="N83" s="12" t="s">
        <v>53</v>
      </c>
      <c r="O83" s="6">
        <f>AVERAGE(R14,R37,R57,R77)</f>
        <v>2129.791667</v>
      </c>
      <c r="Q83" s="52"/>
      <c r="S83" s="119"/>
      <c r="T83" s="3" t="s">
        <v>113</v>
      </c>
      <c r="W83" s="130" t="s">
        <v>27</v>
      </c>
      <c r="X83" s="130" t="s">
        <v>20</v>
      </c>
    </row>
    <row r="84">
      <c r="N84" s="12" t="s">
        <v>114</v>
      </c>
      <c r="O84" s="16">
        <f t="shared" ref="O84:P84" si="40">AVERAGE(S10,S33,S53,S73)</f>
        <v>0.9636329082</v>
      </c>
      <c r="P84" s="24">
        <f t="shared" si="40"/>
        <v>0.002106510417</v>
      </c>
      <c r="Q84" s="131">
        <f>(V10+V33+V52+U73)/12</f>
        <v>0.03636709183</v>
      </c>
      <c r="S84" s="117">
        <f>SQRT(SUM(H17,H39,H61,H81)/12)</f>
        <v>0.002758640708</v>
      </c>
      <c r="T84" s="12" t="s">
        <v>111</v>
      </c>
      <c r="U84" s="6">
        <f t="shared" ref="U84:U89" si="42">AVERAGE(O82,O92)</f>
        <v>8.06375</v>
      </c>
      <c r="W84" s="59"/>
      <c r="X84" s="59"/>
    </row>
    <row r="85">
      <c r="N85" s="12" t="s">
        <v>115</v>
      </c>
      <c r="O85" s="16">
        <f t="shared" ref="O85:P85" si="41">AVERAGE(S11,S34,S54,S74)</f>
        <v>1.122374182</v>
      </c>
      <c r="P85" s="6">
        <f t="shared" si="41"/>
        <v>-0.05958333333</v>
      </c>
      <c r="Q85" s="52"/>
      <c r="S85" s="133">
        <f>SQRT(SUM(J17,J39,J61,J81)/12)</f>
        <v>0.06008674285</v>
      </c>
      <c r="T85" s="12" t="s">
        <v>53</v>
      </c>
      <c r="U85" s="6">
        <f t="shared" si="42"/>
        <v>1886.104167</v>
      </c>
      <c r="W85" s="59"/>
      <c r="X85" s="59"/>
    </row>
    <row r="86">
      <c r="N86" s="12" t="s">
        <v>116</v>
      </c>
      <c r="O86" s="16">
        <f t="shared" ref="O86:P86" si="43">AVERAGE(S12,S35,S55,S75)</f>
        <v>1.160755583</v>
      </c>
      <c r="P86" s="6">
        <f t="shared" si="43"/>
        <v>-0.05625</v>
      </c>
      <c r="S86" s="133">
        <f>SQRT(SUM(K17,K39,K61,K81)/12)</f>
        <v>0.05717298313</v>
      </c>
      <c r="T86" s="12" t="s">
        <v>114</v>
      </c>
      <c r="U86" s="16">
        <f t="shared" si="42"/>
        <v>0.9202133303</v>
      </c>
      <c r="V86" s="24">
        <f t="shared" ref="V86:V89" si="45">AVERAGE(P84,P94)</f>
        <v>0.002129671875</v>
      </c>
      <c r="W86" s="87">
        <f>SQRT(SUM(H17,H28,H39,H50,H61,AH70,AR70,H81)/24)</f>
        <v>0.007851915905</v>
      </c>
      <c r="X86" s="148">
        <f>(V10+V33+V52+U73+V23+V42+AK60+AU60)/24</f>
        <v>0.0805272294</v>
      </c>
    </row>
    <row r="87">
      <c r="N87" s="12" t="s">
        <v>117</v>
      </c>
      <c r="O87" s="16">
        <f t="shared" ref="O87:P87" si="44">AVERAGE(S13,S36,S56,S76)</f>
        <v>0.968400215</v>
      </c>
      <c r="P87" s="6">
        <f t="shared" si="44"/>
        <v>0.01216666667</v>
      </c>
      <c r="S87" s="133">
        <f>SQRT(SUM(L17,L39,L61,L81)/12)</f>
        <v>0.01635542723</v>
      </c>
      <c r="T87" s="12" t="s">
        <v>115</v>
      </c>
      <c r="U87" s="16">
        <f t="shared" si="42"/>
        <v>1.104871973</v>
      </c>
      <c r="V87" s="6">
        <f t="shared" si="45"/>
        <v>-0.041875</v>
      </c>
      <c r="W87" s="149">
        <f>SQRT(SUM(J17,J28,J39,J50,J61,AK70,AT70,J81)/24)</f>
        <v>0.05290518248</v>
      </c>
      <c r="X87" s="59"/>
    </row>
    <row r="88">
      <c r="N88" s="12" t="s">
        <v>118</v>
      </c>
      <c r="O88" s="16">
        <f t="shared" ref="O88:P88" si="46">AVERAGE(S15,S38,S58,S78)</f>
        <v>1.011730573</v>
      </c>
      <c r="P88" s="6">
        <f t="shared" si="46"/>
        <v>-0.01216666667</v>
      </c>
      <c r="Q88" s="134" t="s">
        <v>119</v>
      </c>
      <c r="S88" s="133">
        <f>SQRT(SUM(M17,M39,M61,M81)/12)</f>
        <v>0.01635542723</v>
      </c>
      <c r="T88" s="12" t="s">
        <v>116</v>
      </c>
      <c r="U88" s="16">
        <f t="shared" si="42"/>
        <v>1.228467888</v>
      </c>
      <c r="V88" s="6">
        <f t="shared" si="45"/>
        <v>-0.04916666667</v>
      </c>
      <c r="W88" s="149">
        <f>SQRT(SUM(K17,K28,K39,K50,K61,AL70,AU70,K81)/24)</f>
        <v>0.06785400995</v>
      </c>
      <c r="X88" s="59"/>
    </row>
    <row r="89">
      <c r="T89" s="12" t="s">
        <v>117</v>
      </c>
      <c r="U89" s="16">
        <f t="shared" si="42"/>
        <v>0.9516168917</v>
      </c>
      <c r="V89" s="6">
        <f t="shared" si="45"/>
        <v>0.0095</v>
      </c>
      <c r="W89" s="149">
        <f>SQRT(SUM(L17,L28,L39,L50,L61,AM70,AV70,L81)/24)</f>
        <v>0.01740450133</v>
      </c>
      <c r="X89" s="59"/>
    </row>
    <row r="90">
      <c r="N90" s="1" t="s">
        <v>120</v>
      </c>
      <c r="T90" s="12" t="s">
        <v>118</v>
      </c>
      <c r="U90" s="16">
        <f t="shared" ref="U90:V90" si="47">AVERAGEA(O88,O98)</f>
        <v>1.012089433</v>
      </c>
      <c r="V90" s="6">
        <f t="shared" si="47"/>
        <v>-0.0135</v>
      </c>
      <c r="W90" s="149">
        <f>SQRT(SUM(M17,M28,M39,M50,M61,AN70,AW70,M81)/24)</f>
        <v>0.01740450133</v>
      </c>
      <c r="X90" s="59"/>
    </row>
    <row r="91">
      <c r="N91" s="3" t="s">
        <v>109</v>
      </c>
      <c r="O91" s="8"/>
      <c r="P91" s="3" t="s">
        <v>110</v>
      </c>
      <c r="Q91" s="8"/>
    </row>
    <row r="92">
      <c r="N92" s="12" t="s">
        <v>111</v>
      </c>
      <c r="O92" s="6">
        <f>AVERAGE(R22,R41,R62,Y62)</f>
        <v>6.464166667</v>
      </c>
      <c r="Q92" s="135" t="s">
        <v>146</v>
      </c>
      <c r="S92" s="71" t="s">
        <v>27</v>
      </c>
    </row>
    <row r="93">
      <c r="N93" s="12" t="s">
        <v>53</v>
      </c>
      <c r="O93" s="6">
        <f>AVERAGE(R27,R46,R67,Y67)</f>
        <v>1642.416667</v>
      </c>
      <c r="Q93" s="84"/>
      <c r="S93" s="78"/>
    </row>
    <row r="94">
      <c r="N94" s="12" t="s">
        <v>114</v>
      </c>
      <c r="O94" s="16">
        <f t="shared" ref="O94:O97" si="48">AVERAGE(S23,S42,S63,Z63)</f>
        <v>0.8767937524</v>
      </c>
      <c r="P94" s="24">
        <f t="shared" ref="P94:P97" si="49">AVERAGE(T23,T42,T63,AB63)</f>
        <v>0.002152833333</v>
      </c>
      <c r="Q94" s="137">
        <f>(V23+V42+AK60+AU60)/12</f>
        <v>0.124687367</v>
      </c>
      <c r="S94" s="138">
        <f>SQRT(SUM(H28,H50,AH70,AR70)/12)</f>
        <v>0.0107561642</v>
      </c>
    </row>
    <row r="95">
      <c r="N95" s="12" t="s">
        <v>115</v>
      </c>
      <c r="O95" s="16">
        <f t="shared" si="48"/>
        <v>1.087369764</v>
      </c>
      <c r="P95" s="24">
        <f t="shared" si="49"/>
        <v>-0.02416666667</v>
      </c>
      <c r="S95" s="138">
        <f>SQRT(SUM(J28,J50,AK70,AT70)/12)</f>
        <v>0.04458138625</v>
      </c>
    </row>
    <row r="96">
      <c r="N96" s="12" t="s">
        <v>116</v>
      </c>
      <c r="O96" s="16">
        <f t="shared" si="48"/>
        <v>1.296180193</v>
      </c>
      <c r="P96" s="24">
        <f t="shared" si="49"/>
        <v>-0.04208333333</v>
      </c>
      <c r="S96" s="138">
        <f>SQRT(SUM(K28,K50,AL70,AU70)/12)</f>
        <v>0.0770686923</v>
      </c>
    </row>
    <row r="97">
      <c r="N97" s="12" t="s">
        <v>117</v>
      </c>
      <c r="O97" s="16">
        <f t="shared" si="48"/>
        <v>0.9348335683</v>
      </c>
      <c r="P97" s="24">
        <f t="shared" si="49"/>
        <v>0.006833333333</v>
      </c>
      <c r="S97" s="138">
        <f>SQRT(SUM(L28,L50,AM70,AV70)/12)</f>
        <v>0.01839383955</v>
      </c>
    </row>
    <row r="98">
      <c r="N98" s="12" t="s">
        <v>118</v>
      </c>
      <c r="O98" s="16">
        <f>AVERAGE(S28,S47,S68,Z68)</f>
        <v>1.012448294</v>
      </c>
      <c r="P98" s="24">
        <f>AVERAGE(T28,T47,T68,AB68)</f>
        <v>-0.01483333333</v>
      </c>
      <c r="S98" s="138">
        <f>SQRT(SUM(M28,M50,AN70,AW70)/12)</f>
        <v>0.01839383955</v>
      </c>
    </row>
    <row r="99">
      <c r="P99" s="6"/>
    </row>
  </sheetData>
  <mergeCells count="38">
    <mergeCell ref="G30:I30"/>
    <mergeCell ref="G41:I41"/>
    <mergeCell ref="G52:I52"/>
    <mergeCell ref="G62:I62"/>
    <mergeCell ref="G63:I70"/>
    <mergeCell ref="B8:D8"/>
    <mergeCell ref="G8:I8"/>
    <mergeCell ref="A9:A16"/>
    <mergeCell ref="B9:D16"/>
    <mergeCell ref="B19:D19"/>
    <mergeCell ref="G19:I19"/>
    <mergeCell ref="A20:A27"/>
    <mergeCell ref="A42:A49"/>
    <mergeCell ref="A53:A60"/>
    <mergeCell ref="N60:T60"/>
    <mergeCell ref="V60:AB60"/>
    <mergeCell ref="AG60:AI60"/>
    <mergeCell ref="AQ60:AS60"/>
    <mergeCell ref="B53:D60"/>
    <mergeCell ref="B62:D62"/>
    <mergeCell ref="A63:A70"/>
    <mergeCell ref="B63:D70"/>
    <mergeCell ref="F63:F70"/>
    <mergeCell ref="X70:Y70"/>
    <mergeCell ref="B72:D72"/>
    <mergeCell ref="G72:I72"/>
    <mergeCell ref="A73:A80"/>
    <mergeCell ref="B73:D80"/>
    <mergeCell ref="N80:R80"/>
    <mergeCell ref="N90:R90"/>
    <mergeCell ref="W82:X82"/>
    <mergeCell ref="B20:D27"/>
    <mergeCell ref="B30:D30"/>
    <mergeCell ref="A31:A38"/>
    <mergeCell ref="B31:D38"/>
    <mergeCell ref="B41:D41"/>
    <mergeCell ref="B42:D49"/>
    <mergeCell ref="B52:D52"/>
  </mergeCells>
  <drawing r:id="rId1"/>
</worksheet>
</file>